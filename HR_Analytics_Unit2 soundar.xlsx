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shma\Downloads\"/>
    </mc:Choice>
  </mc:AlternateContent>
  <xr:revisionPtr revIDLastSave="0" documentId="8_{EBDCA9A0-EFCE-4A60-A444-BEDB242ECBE2}" xr6:coauthVersionLast="47" xr6:coauthVersionMax="47" xr10:uidLastSave="{00000000-0000-0000-0000-000000000000}"/>
  <bookViews>
    <workbookView xWindow="-108" yWindow="-108" windowWidth="23256" windowHeight="12456" activeTab="1" xr2:uid="{10917797-7EDE-44C5-801A-E65F9062026E}"/>
  </bookViews>
  <sheets>
    <sheet name="Data" sheetId="1" r:id="rId1"/>
    <sheet name="Solu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2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" i="1"/>
  <c r="C44" i="2" a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" i="1"/>
  <c r="C52" i="2" s="1"/>
  <c r="C31" i="2" a="1"/>
  <c r="C30" i="2"/>
  <c r="C29" i="2"/>
  <c r="C13" i="2" a="1"/>
  <c r="C10" i="2"/>
  <c r="C9" i="2"/>
  <c r="C8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" i="1"/>
  <c r="C26" i="2"/>
  <c r="C25" i="2"/>
  <c r="C24" i="2"/>
  <c r="C23" i="2"/>
  <c r="C16" i="2" a="1"/>
  <c r="C15" i="2" a="1"/>
  <c r="C14" i="2" a="1"/>
  <c r="C40" i="2" l="1" a="1"/>
  <c r="C3" i="2"/>
  <c r="C4" i="2"/>
  <c r="D40" i="2"/>
  <c r="D42" i="2"/>
  <c r="D41" i="2"/>
  <c r="D44" i="2" a="1"/>
  <c r="C5" i="2"/>
  <c r="D31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<sst xmlns="http://schemas.openxmlformats.org/spreadsheetml/2006/main" count="1464" uniqueCount="485">
  <si>
    <t>Requisition_ID</t>
  </si>
  <si>
    <t>Department</t>
  </si>
  <si>
    <t>Position</t>
  </si>
  <si>
    <t>Open_Date</t>
  </si>
  <si>
    <t>Hire_Date</t>
  </si>
  <si>
    <t>Recruitment_Cost</t>
  </si>
  <si>
    <t>Source</t>
  </si>
  <si>
    <t>Candidate_Count</t>
  </si>
  <si>
    <t>Offers_Made</t>
  </si>
  <si>
    <t>Offers_Accepted</t>
  </si>
  <si>
    <t>Emp_ID</t>
  </si>
  <si>
    <t>Training_Hours</t>
  </si>
  <si>
    <t>Training_Cost</t>
  </si>
  <si>
    <t>Pre_Test</t>
  </si>
  <si>
    <t>Post_Test</t>
  </si>
  <si>
    <t>Rating</t>
  </si>
  <si>
    <t>Attendance_Percent</t>
  </si>
  <si>
    <t>Performance_Score</t>
  </si>
  <si>
    <t>Attrition_Status</t>
  </si>
  <si>
    <t>Gender</t>
  </si>
  <si>
    <t>Age</t>
  </si>
  <si>
    <t>Experience_Years</t>
  </si>
  <si>
    <t>Leave_Taken</t>
  </si>
  <si>
    <t>Leave_Available</t>
  </si>
  <si>
    <t>Salary</t>
  </si>
  <si>
    <t>REQ001</t>
  </si>
  <si>
    <t>Operations</t>
  </si>
  <si>
    <t>Senior Analyst</t>
  </si>
  <si>
    <t>Campus Hiring</t>
  </si>
  <si>
    <t>E001</t>
  </si>
  <si>
    <t>Yes</t>
  </si>
  <si>
    <t>Female</t>
  </si>
  <si>
    <t>REQ002</t>
  </si>
  <si>
    <t>Walk-In</t>
  </si>
  <si>
    <t>E002</t>
  </si>
  <si>
    <t>No</t>
  </si>
  <si>
    <t>REQ003</t>
  </si>
  <si>
    <t>HR</t>
  </si>
  <si>
    <t>Employee Referral</t>
  </si>
  <si>
    <t>E003</t>
  </si>
  <si>
    <t>REQ004</t>
  </si>
  <si>
    <t>Naukri</t>
  </si>
  <si>
    <t>E004</t>
  </si>
  <si>
    <t>Male</t>
  </si>
  <si>
    <t>REQ005</t>
  </si>
  <si>
    <t>Team Lead</t>
  </si>
  <si>
    <t>E005</t>
  </si>
  <si>
    <t>REQ006</t>
  </si>
  <si>
    <t>Analyst</t>
  </si>
  <si>
    <t>E006</t>
  </si>
  <si>
    <t>REQ007</t>
  </si>
  <si>
    <t>Associate</t>
  </si>
  <si>
    <t>LinkedIn</t>
  </si>
  <si>
    <t>E007</t>
  </si>
  <si>
    <t>REQ008</t>
  </si>
  <si>
    <t>Marketing</t>
  </si>
  <si>
    <t>E008</t>
  </si>
  <si>
    <t>REQ009</t>
  </si>
  <si>
    <t>E009</t>
  </si>
  <si>
    <t>REQ010</t>
  </si>
  <si>
    <t>Manager</t>
  </si>
  <si>
    <t>E010</t>
  </si>
  <si>
    <t>REQ011</t>
  </si>
  <si>
    <t>E011</t>
  </si>
  <si>
    <t>REQ012</t>
  </si>
  <si>
    <t>E012</t>
  </si>
  <si>
    <t>REQ013</t>
  </si>
  <si>
    <t>Sales</t>
  </si>
  <si>
    <t>E013</t>
  </si>
  <si>
    <t>REQ014</t>
  </si>
  <si>
    <t>E014</t>
  </si>
  <si>
    <t>REQ015</t>
  </si>
  <si>
    <t>Finance</t>
  </si>
  <si>
    <t>E015</t>
  </si>
  <si>
    <t>REQ016</t>
  </si>
  <si>
    <t>E016</t>
  </si>
  <si>
    <t>REQ017</t>
  </si>
  <si>
    <t>IT</t>
  </si>
  <si>
    <t>E017</t>
  </si>
  <si>
    <t>REQ018</t>
  </si>
  <si>
    <t>E018</t>
  </si>
  <si>
    <t>REQ019</t>
  </si>
  <si>
    <t>E019</t>
  </si>
  <si>
    <t>REQ020</t>
  </si>
  <si>
    <t>E020</t>
  </si>
  <si>
    <t>REQ021</t>
  </si>
  <si>
    <t>Executive</t>
  </si>
  <si>
    <t>E021</t>
  </si>
  <si>
    <t>REQ022</t>
  </si>
  <si>
    <t>E022</t>
  </si>
  <si>
    <t>REQ023</t>
  </si>
  <si>
    <t>E023</t>
  </si>
  <si>
    <t>REQ024</t>
  </si>
  <si>
    <t>E024</t>
  </si>
  <si>
    <t>REQ025</t>
  </si>
  <si>
    <t>E025</t>
  </si>
  <si>
    <t>REQ026</t>
  </si>
  <si>
    <t>E026</t>
  </si>
  <si>
    <t>REQ027</t>
  </si>
  <si>
    <t>E027</t>
  </si>
  <si>
    <t>REQ028</t>
  </si>
  <si>
    <t>E028</t>
  </si>
  <si>
    <t>REQ029</t>
  </si>
  <si>
    <t>E029</t>
  </si>
  <si>
    <t>REQ030</t>
  </si>
  <si>
    <t>E030</t>
  </si>
  <si>
    <t>REQ031</t>
  </si>
  <si>
    <t>E031</t>
  </si>
  <si>
    <t>REQ032</t>
  </si>
  <si>
    <t>E032</t>
  </si>
  <si>
    <t>REQ033</t>
  </si>
  <si>
    <t>E033</t>
  </si>
  <si>
    <t>REQ034</t>
  </si>
  <si>
    <t>E034</t>
  </si>
  <si>
    <t>REQ035</t>
  </si>
  <si>
    <t>E035</t>
  </si>
  <si>
    <t>REQ036</t>
  </si>
  <si>
    <t>E036</t>
  </si>
  <si>
    <t>REQ037</t>
  </si>
  <si>
    <t>E037</t>
  </si>
  <si>
    <t>REQ038</t>
  </si>
  <si>
    <t>E038</t>
  </si>
  <si>
    <t>REQ039</t>
  </si>
  <si>
    <t>E039</t>
  </si>
  <si>
    <t>REQ040</t>
  </si>
  <si>
    <t>E040</t>
  </si>
  <si>
    <t>REQ041</t>
  </si>
  <si>
    <t>E041</t>
  </si>
  <si>
    <t>REQ042</t>
  </si>
  <si>
    <t>E042</t>
  </si>
  <si>
    <t>REQ043</t>
  </si>
  <si>
    <t>E043</t>
  </si>
  <si>
    <t>REQ044</t>
  </si>
  <si>
    <t>E044</t>
  </si>
  <si>
    <t>REQ045</t>
  </si>
  <si>
    <t>E045</t>
  </si>
  <si>
    <t>REQ046</t>
  </si>
  <si>
    <t>E046</t>
  </si>
  <si>
    <t>REQ047</t>
  </si>
  <si>
    <t>E047</t>
  </si>
  <si>
    <t>REQ048</t>
  </si>
  <si>
    <t>E048</t>
  </si>
  <si>
    <t>REQ049</t>
  </si>
  <si>
    <t>E049</t>
  </si>
  <si>
    <t>REQ050</t>
  </si>
  <si>
    <t>E050</t>
  </si>
  <si>
    <t>REQ051</t>
  </si>
  <si>
    <t>E051</t>
  </si>
  <si>
    <t>REQ052</t>
  </si>
  <si>
    <t>E052</t>
  </si>
  <si>
    <t>REQ053</t>
  </si>
  <si>
    <t>E053</t>
  </si>
  <si>
    <t>REQ054</t>
  </si>
  <si>
    <t>E054</t>
  </si>
  <si>
    <t>REQ055</t>
  </si>
  <si>
    <t>E055</t>
  </si>
  <si>
    <t>REQ056</t>
  </si>
  <si>
    <t>E056</t>
  </si>
  <si>
    <t>REQ057</t>
  </si>
  <si>
    <t>E057</t>
  </si>
  <si>
    <t>REQ058</t>
  </si>
  <si>
    <t>E058</t>
  </si>
  <si>
    <t>REQ059</t>
  </si>
  <si>
    <t>E059</t>
  </si>
  <si>
    <t>REQ060</t>
  </si>
  <si>
    <t>E060</t>
  </si>
  <si>
    <t>REQ061</t>
  </si>
  <si>
    <t>E061</t>
  </si>
  <si>
    <t>REQ062</t>
  </si>
  <si>
    <t>E062</t>
  </si>
  <si>
    <t>REQ063</t>
  </si>
  <si>
    <t>E063</t>
  </si>
  <si>
    <t>REQ064</t>
  </si>
  <si>
    <t>E064</t>
  </si>
  <si>
    <t>REQ065</t>
  </si>
  <si>
    <t>E065</t>
  </si>
  <si>
    <t>REQ066</t>
  </si>
  <si>
    <t>E066</t>
  </si>
  <si>
    <t>REQ067</t>
  </si>
  <si>
    <t>E067</t>
  </si>
  <si>
    <t>REQ068</t>
  </si>
  <si>
    <t>E068</t>
  </si>
  <si>
    <t>REQ069</t>
  </si>
  <si>
    <t>E069</t>
  </si>
  <si>
    <t>REQ070</t>
  </si>
  <si>
    <t>E070</t>
  </si>
  <si>
    <t>REQ071</t>
  </si>
  <si>
    <t>E071</t>
  </si>
  <si>
    <t>REQ072</t>
  </si>
  <si>
    <t>E072</t>
  </si>
  <si>
    <t>REQ073</t>
  </si>
  <si>
    <t>E073</t>
  </si>
  <si>
    <t>REQ074</t>
  </si>
  <si>
    <t>E074</t>
  </si>
  <si>
    <t>REQ075</t>
  </si>
  <si>
    <t>E075</t>
  </si>
  <si>
    <t>REQ076</t>
  </si>
  <si>
    <t>E076</t>
  </si>
  <si>
    <t>REQ077</t>
  </si>
  <si>
    <t>E077</t>
  </si>
  <si>
    <t>REQ078</t>
  </si>
  <si>
    <t>E078</t>
  </si>
  <si>
    <t>REQ079</t>
  </si>
  <si>
    <t>E079</t>
  </si>
  <si>
    <t>REQ080</t>
  </si>
  <si>
    <t>E080</t>
  </si>
  <si>
    <t>REQ081</t>
  </si>
  <si>
    <t>E081</t>
  </si>
  <si>
    <t>REQ082</t>
  </si>
  <si>
    <t>E082</t>
  </si>
  <si>
    <t>REQ083</t>
  </si>
  <si>
    <t>E083</t>
  </si>
  <si>
    <t>REQ084</t>
  </si>
  <si>
    <t>E084</t>
  </si>
  <si>
    <t>REQ085</t>
  </si>
  <si>
    <t>E085</t>
  </si>
  <si>
    <t>REQ086</t>
  </si>
  <si>
    <t>E086</t>
  </si>
  <si>
    <t>REQ087</t>
  </si>
  <si>
    <t>E087</t>
  </si>
  <si>
    <t>REQ088</t>
  </si>
  <si>
    <t>E088</t>
  </si>
  <si>
    <t>REQ089</t>
  </si>
  <si>
    <t>E089</t>
  </si>
  <si>
    <t>REQ090</t>
  </si>
  <si>
    <t>E090</t>
  </si>
  <si>
    <t>REQ091</t>
  </si>
  <si>
    <t>E091</t>
  </si>
  <si>
    <t>REQ092</t>
  </si>
  <si>
    <t>E092</t>
  </si>
  <si>
    <t>REQ093</t>
  </si>
  <si>
    <t>E093</t>
  </si>
  <si>
    <t>REQ094</t>
  </si>
  <si>
    <t>E094</t>
  </si>
  <si>
    <t>REQ095</t>
  </si>
  <si>
    <t>E095</t>
  </si>
  <si>
    <t>REQ096</t>
  </si>
  <si>
    <t>E096</t>
  </si>
  <si>
    <t>REQ097</t>
  </si>
  <si>
    <t>E097</t>
  </si>
  <si>
    <t>REQ098</t>
  </si>
  <si>
    <t>E098</t>
  </si>
  <si>
    <t>REQ099</t>
  </si>
  <si>
    <t>E099</t>
  </si>
  <si>
    <t>REQ100</t>
  </si>
  <si>
    <t>E100</t>
  </si>
  <si>
    <t>REQ101</t>
  </si>
  <si>
    <t>E101</t>
  </si>
  <si>
    <t>REQ102</t>
  </si>
  <si>
    <t>E102</t>
  </si>
  <si>
    <t>REQ103</t>
  </si>
  <si>
    <t>E103</t>
  </si>
  <si>
    <t>REQ104</t>
  </si>
  <si>
    <t>E104</t>
  </si>
  <si>
    <t>REQ105</t>
  </si>
  <si>
    <t>E105</t>
  </si>
  <si>
    <t>REQ106</t>
  </si>
  <si>
    <t>E106</t>
  </si>
  <si>
    <t>REQ107</t>
  </si>
  <si>
    <t>E107</t>
  </si>
  <si>
    <t>REQ108</t>
  </si>
  <si>
    <t>E108</t>
  </si>
  <si>
    <t>REQ109</t>
  </si>
  <si>
    <t>E109</t>
  </si>
  <si>
    <t>REQ110</t>
  </si>
  <si>
    <t>E110</t>
  </si>
  <si>
    <t>REQ111</t>
  </si>
  <si>
    <t>E111</t>
  </si>
  <si>
    <t>REQ112</t>
  </si>
  <si>
    <t>E112</t>
  </si>
  <si>
    <t>REQ113</t>
  </si>
  <si>
    <t>E113</t>
  </si>
  <si>
    <t>REQ114</t>
  </si>
  <si>
    <t>E114</t>
  </si>
  <si>
    <t>REQ115</t>
  </si>
  <si>
    <t>E115</t>
  </si>
  <si>
    <t>REQ116</t>
  </si>
  <si>
    <t>E116</t>
  </si>
  <si>
    <t>REQ117</t>
  </si>
  <si>
    <t>E117</t>
  </si>
  <si>
    <t>REQ118</t>
  </si>
  <si>
    <t>E118</t>
  </si>
  <si>
    <t>REQ119</t>
  </si>
  <si>
    <t>E119</t>
  </si>
  <si>
    <t>REQ120</t>
  </si>
  <si>
    <t>E120</t>
  </si>
  <si>
    <t>REQ121</t>
  </si>
  <si>
    <t>E121</t>
  </si>
  <si>
    <t>REQ122</t>
  </si>
  <si>
    <t>E122</t>
  </si>
  <si>
    <t>REQ123</t>
  </si>
  <si>
    <t>E123</t>
  </si>
  <si>
    <t>REQ124</t>
  </si>
  <si>
    <t>E124</t>
  </si>
  <si>
    <t>REQ125</t>
  </si>
  <si>
    <t>E125</t>
  </si>
  <si>
    <t>REQ126</t>
  </si>
  <si>
    <t>E126</t>
  </si>
  <si>
    <t>REQ127</t>
  </si>
  <si>
    <t>E127</t>
  </si>
  <si>
    <t>REQ128</t>
  </si>
  <si>
    <t>E128</t>
  </si>
  <si>
    <t>REQ129</t>
  </si>
  <si>
    <t>E129</t>
  </si>
  <si>
    <t>REQ130</t>
  </si>
  <si>
    <t>E130</t>
  </si>
  <si>
    <t>REQ131</t>
  </si>
  <si>
    <t>E131</t>
  </si>
  <si>
    <t>REQ132</t>
  </si>
  <si>
    <t>E132</t>
  </si>
  <si>
    <t>REQ133</t>
  </si>
  <si>
    <t>E133</t>
  </si>
  <si>
    <t>REQ134</t>
  </si>
  <si>
    <t>E134</t>
  </si>
  <si>
    <t>REQ135</t>
  </si>
  <si>
    <t>E135</t>
  </si>
  <si>
    <t>REQ136</t>
  </si>
  <si>
    <t>E136</t>
  </si>
  <si>
    <t>REQ137</t>
  </si>
  <si>
    <t>E137</t>
  </si>
  <si>
    <t>REQ138</t>
  </si>
  <si>
    <t>E138</t>
  </si>
  <si>
    <t>REQ139</t>
  </si>
  <si>
    <t>E139</t>
  </si>
  <si>
    <t>REQ140</t>
  </si>
  <si>
    <t>E140</t>
  </si>
  <si>
    <t>REQ141</t>
  </si>
  <si>
    <t>E141</t>
  </si>
  <si>
    <t>REQ142</t>
  </si>
  <si>
    <t>E142</t>
  </si>
  <si>
    <t>REQ143</t>
  </si>
  <si>
    <t>E143</t>
  </si>
  <si>
    <t>REQ144</t>
  </si>
  <si>
    <t>E144</t>
  </si>
  <si>
    <t>REQ145</t>
  </si>
  <si>
    <t>E145</t>
  </si>
  <si>
    <t>REQ146</t>
  </si>
  <si>
    <t>E146</t>
  </si>
  <si>
    <t>REQ147</t>
  </si>
  <si>
    <t>E147</t>
  </si>
  <si>
    <t>REQ148</t>
  </si>
  <si>
    <t>E148</t>
  </si>
  <si>
    <t>REQ149</t>
  </si>
  <si>
    <t>E149</t>
  </si>
  <si>
    <t>REQ150</t>
  </si>
  <si>
    <t>E150</t>
  </si>
  <si>
    <t>REQ151</t>
  </si>
  <si>
    <t>E151</t>
  </si>
  <si>
    <t>REQ152</t>
  </si>
  <si>
    <t>E152</t>
  </si>
  <si>
    <t>REQ153</t>
  </si>
  <si>
    <t>E153</t>
  </si>
  <si>
    <t>REQ154</t>
  </si>
  <si>
    <t>E154</t>
  </si>
  <si>
    <t>REQ155</t>
  </si>
  <si>
    <t>E155</t>
  </si>
  <si>
    <t>REQ156</t>
  </si>
  <si>
    <t>E156</t>
  </si>
  <si>
    <t>REQ157</t>
  </si>
  <si>
    <t>E157</t>
  </si>
  <si>
    <t>REQ158</t>
  </si>
  <si>
    <t>E158</t>
  </si>
  <si>
    <t>REQ159</t>
  </si>
  <si>
    <t>E159</t>
  </si>
  <si>
    <t>REQ160</t>
  </si>
  <si>
    <t>E160</t>
  </si>
  <si>
    <t>REQ161</t>
  </si>
  <si>
    <t>E161</t>
  </si>
  <si>
    <t>REQ162</t>
  </si>
  <si>
    <t>E162</t>
  </si>
  <si>
    <t>REQ163</t>
  </si>
  <si>
    <t>E163</t>
  </si>
  <si>
    <t>REQ164</t>
  </si>
  <si>
    <t>E164</t>
  </si>
  <si>
    <t>REQ165</t>
  </si>
  <si>
    <t>E165</t>
  </si>
  <si>
    <t>REQ166</t>
  </si>
  <si>
    <t>E166</t>
  </si>
  <si>
    <t>REQ167</t>
  </si>
  <si>
    <t>E167</t>
  </si>
  <si>
    <t>REQ168</t>
  </si>
  <si>
    <t>E168</t>
  </si>
  <si>
    <t>REQ169</t>
  </si>
  <si>
    <t>E169</t>
  </si>
  <si>
    <t>REQ170</t>
  </si>
  <si>
    <t>E170</t>
  </si>
  <si>
    <t>REQ171</t>
  </si>
  <si>
    <t>E171</t>
  </si>
  <si>
    <t>REQ172</t>
  </si>
  <si>
    <t>E172</t>
  </si>
  <si>
    <t>REQ173</t>
  </si>
  <si>
    <t>E173</t>
  </si>
  <si>
    <t>REQ174</t>
  </si>
  <si>
    <t>E174</t>
  </si>
  <si>
    <t>REQ175</t>
  </si>
  <si>
    <t>E175</t>
  </si>
  <si>
    <t>REQ176</t>
  </si>
  <si>
    <t>E176</t>
  </si>
  <si>
    <t>REQ177</t>
  </si>
  <si>
    <t>E177</t>
  </si>
  <si>
    <t>REQ178</t>
  </si>
  <si>
    <t>E178</t>
  </si>
  <si>
    <t>REQ179</t>
  </si>
  <si>
    <t>E179</t>
  </si>
  <si>
    <t>REQ180</t>
  </si>
  <si>
    <t>E180</t>
  </si>
  <si>
    <t>REQ181</t>
  </si>
  <si>
    <t>E181</t>
  </si>
  <si>
    <t>REQ182</t>
  </si>
  <si>
    <t>E182</t>
  </si>
  <si>
    <t>REQ183</t>
  </si>
  <si>
    <t>E183</t>
  </si>
  <si>
    <t>REQ184</t>
  </si>
  <si>
    <t>E184</t>
  </si>
  <si>
    <t>REQ185</t>
  </si>
  <si>
    <t>E185</t>
  </si>
  <si>
    <t>REQ186</t>
  </si>
  <si>
    <t>E186</t>
  </si>
  <si>
    <t>REQ187</t>
  </si>
  <si>
    <t>E187</t>
  </si>
  <si>
    <t>REQ188</t>
  </si>
  <si>
    <t>E188</t>
  </si>
  <si>
    <t>REQ189</t>
  </si>
  <si>
    <t>E189</t>
  </si>
  <si>
    <t>REQ190</t>
  </si>
  <si>
    <t>E190</t>
  </si>
  <si>
    <t>REQ191</t>
  </si>
  <si>
    <t>E191</t>
  </si>
  <si>
    <t>REQ192</t>
  </si>
  <si>
    <t>E192</t>
  </si>
  <si>
    <t>REQ193</t>
  </si>
  <si>
    <t>E193</t>
  </si>
  <si>
    <t>REQ194</t>
  </si>
  <si>
    <t>E194</t>
  </si>
  <si>
    <t>REQ195</t>
  </si>
  <si>
    <t>E195</t>
  </si>
  <si>
    <t>REQ196</t>
  </si>
  <si>
    <t>E196</t>
  </si>
  <si>
    <t>REQ197</t>
  </si>
  <si>
    <t>E197</t>
  </si>
  <si>
    <t>REQ198</t>
  </si>
  <si>
    <t>E198</t>
  </si>
  <si>
    <t>REQ199</t>
  </si>
  <si>
    <t>E199</t>
  </si>
  <si>
    <t>REQ200</t>
  </si>
  <si>
    <t>E200</t>
  </si>
  <si>
    <t>Time to Fill</t>
  </si>
  <si>
    <t>Calculate Time to Fill for every position.</t>
  </si>
  <si>
    <t>Find the average Time to Fill.</t>
  </si>
  <si>
    <t>Find the maximum Time to Fill.</t>
  </si>
  <si>
    <t>Find the minimum Time to Fill.</t>
  </si>
  <si>
    <t>Calculate average recruitment cost.</t>
  </si>
  <si>
    <t>Calculate total recruitment cost.</t>
  </si>
  <si>
    <t>Identify the most expensive hire.</t>
  </si>
  <si>
    <t>Which source produced the most hires?</t>
  </si>
  <si>
    <t>Which source produced the least hires?</t>
  </si>
  <si>
    <t>Which source has the lowest recruitment cost?</t>
  </si>
  <si>
    <t>Which source has the highest recruitment cost?</t>
  </si>
  <si>
    <t>Total Training Hours</t>
  </si>
  <si>
    <t>Average Training Hours</t>
  </si>
  <si>
    <t>Highest Training Hours</t>
  </si>
  <si>
    <t>Lowest Training Hours</t>
  </si>
  <si>
    <t>Exercise 1 – Time to Fill</t>
  </si>
  <si>
    <t>Exercise 2 – Cost per Hire</t>
  </si>
  <si>
    <t>Exercise 3 – Recruitment Source Analysis</t>
  </si>
  <si>
    <t>Total Training Cost</t>
  </si>
  <si>
    <t>Average Training Cost</t>
  </si>
  <si>
    <t>Department-wise Training Cost</t>
  </si>
  <si>
    <t>Calculate learning improvement.</t>
  </si>
  <si>
    <t>Identify employees with highest improvement.</t>
  </si>
  <si>
    <t>Find average improvement by department.</t>
  </si>
  <si>
    <t>Exercise 4 – Training Hours Analysis</t>
  </si>
  <si>
    <t>Exercise 5 – Training Cost Analysis</t>
  </si>
  <si>
    <t>Exercise 6 – Learning Improvement %</t>
  </si>
  <si>
    <t>Exercise 7 – Training Effectiveness</t>
  </si>
  <si>
    <t>Compare Training Hours vs Performance Score.</t>
  </si>
  <si>
    <t>Learning Imp</t>
  </si>
  <si>
    <t>Column Q</t>
  </si>
  <si>
    <t>Weak positive relationship</t>
  </si>
  <si>
    <t>Exercise 4 – Offer Acceptance Rate</t>
  </si>
  <si>
    <t>Calculate acceptance rate for each hiring source.</t>
  </si>
  <si>
    <t>Which source has the highest acceptance rate?</t>
  </si>
  <si>
    <t>Acceptance Rate</t>
  </si>
  <si>
    <t>Column F</t>
  </si>
  <si>
    <t>Column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</si>
</sst>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rgb="FF0F4761"/>
      <name val="Aptos Display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/>
    <xf numFmtId="0" fontId="0" fillId="33" borderId="0" xfId="0" applyFill="1"/>
    <xf numFmtId="0" fontId="18" fillId="0" borderId="0" xfId="0" applyFont="1" applyAlignment="1">
      <alignment vertical="center"/>
    </xf>
    <xf numFmtId="0" fontId="0" fillId="34" borderId="0" xfId="0" applyFill="1"/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35" borderId="0" xfId="0" applyFill="1"/>
    <xf numFmtId="164" fontId="0" fillId="35" borderId="0" xfId="42" applyNumberFormat="1" applyFont="1" applyFill="1"/>
    <xf numFmtId="0" fontId="0" fillId="36" borderId="0" xfId="0" applyFill="1"/>
    <xf numFmtId="0" fontId="0" fillId="37" borderId="0" xfId="0" applyFill="1"/>
    <xf numFmtId="2" fontId="0" fillId="37" borderId="0" xfId="0" applyNumberFormat="1" applyFill="1"/>
    <xf numFmtId="0" fontId="0" fillId="38" borderId="0" xfId="0" applyFill="1"/>
    <xf numFmtId="2" fontId="0" fillId="38" borderId="0" xfId="0" applyNumberForma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279B-83D9-4EB4-8D65-EFF01028AFBF}">
  <dimension ref="A1:AB201"/>
  <sheetViews>
    <sheetView zoomScale="130" zoomScaleNormal="130" workbookViewId="0">
      <selection activeCell="G7" sqref="G7"/>
    </sheetView>
  </sheetViews>
  <sheetFormatPr defaultRowHeight="14.4" x14ac:dyDescent="0.3"/>
  <cols>
    <col min="1" max="1" width="12.77734375" bestFit="1" customWidth="1"/>
    <col min="2" max="2" width="10.77734375" bestFit="1" customWidth="1"/>
    <col min="3" max="3" width="12.44140625" bestFit="1" customWidth="1"/>
    <col min="4" max="5" width="10.33203125" bestFit="1" customWidth="1"/>
    <col min="6" max="6" width="10.33203125" customWidth="1"/>
    <col min="7" max="7" width="15.77734375" bestFit="1" customWidth="1"/>
    <col min="8" max="8" width="16.109375" bestFit="1" customWidth="1"/>
    <col min="9" max="9" width="15.21875" bestFit="1" customWidth="1"/>
    <col min="10" max="10" width="11.77734375" bestFit="1" customWidth="1"/>
    <col min="11" max="11" width="14.77734375" bestFit="1" customWidth="1"/>
    <col min="12" max="12" width="14.77734375" customWidth="1"/>
    <col min="13" max="13" width="7.33203125" bestFit="1" customWidth="1"/>
    <col min="14" max="14" width="13.33203125" bestFit="1" customWidth="1"/>
    <col min="15" max="15" width="12.109375" bestFit="1" customWidth="1"/>
    <col min="16" max="16" width="8.109375" bestFit="1" customWidth="1"/>
    <col min="17" max="17" width="9" bestFit="1" customWidth="1"/>
    <col min="18" max="18" width="11.77734375" bestFit="1" customWidth="1"/>
    <col min="19" max="19" width="6.109375" bestFit="1" customWidth="1"/>
    <col min="20" max="20" width="17.77734375" bestFit="1" customWidth="1"/>
    <col min="21" max="21" width="17.33203125" bestFit="1" customWidth="1"/>
    <col min="22" max="22" width="13.88671875" bestFit="1" customWidth="1"/>
    <col min="23" max="23" width="6.88671875" bestFit="1" customWidth="1"/>
    <col min="24" max="24" width="4" bestFit="1" customWidth="1"/>
    <col min="25" max="25" width="15.44140625" bestFit="1" customWidth="1"/>
    <col min="26" max="26" width="11.6640625" bestFit="1" customWidth="1"/>
    <col min="27" max="27" width="14.21875" bestFit="1" customWidth="1"/>
    <col min="28" max="28" width="7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5" t="s">
        <v>446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0" t="s">
        <v>482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s="6" t="s">
        <v>476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</row>
    <row r="2" spans="1:28" x14ac:dyDescent="0.3">
      <c r="A2" t="s">
        <v>25</v>
      </c>
      <c r="B2" t="s">
        <v>26</v>
      </c>
      <c r="C2" t="s">
        <v>27</v>
      </c>
      <c r="D2" s="1">
        <v>45786</v>
      </c>
      <c r="E2" s="1">
        <v>45820</v>
      </c>
      <c r="F2" s="16">
        <f>E2-D2</f>
        <v>34</v>
      </c>
      <c r="G2">
        <v>33521</v>
      </c>
      <c r="H2" t="s">
        <v>28</v>
      </c>
      <c r="I2">
        <v>175</v>
      </c>
      <c r="J2">
        <v>2</v>
      </c>
      <c r="K2">
        <v>1</v>
      </c>
      <c r="L2" s="11">
        <f>K2/I2</f>
        <v>5.7142857142857143E-3</v>
      </c>
      <c r="M2" t="s">
        <v>29</v>
      </c>
      <c r="N2">
        <v>41</v>
      </c>
      <c r="O2">
        <v>17020</v>
      </c>
      <c r="P2">
        <v>47</v>
      </c>
      <c r="Q2">
        <v>49</v>
      </c>
      <c r="R2" s="6">
        <f>Q2-P2</f>
        <v>2</v>
      </c>
      <c r="S2">
        <v>4</v>
      </c>
      <c r="T2">
        <v>97</v>
      </c>
      <c r="U2">
        <v>79</v>
      </c>
      <c r="V2" t="s">
        <v>30</v>
      </c>
      <c r="W2" t="s">
        <v>31</v>
      </c>
      <c r="X2">
        <v>31</v>
      </c>
      <c r="Y2">
        <v>4</v>
      </c>
      <c r="Z2">
        <v>6</v>
      </c>
      <c r="AA2">
        <v>30</v>
      </c>
      <c r="AB2">
        <v>49256</v>
      </c>
    </row>
    <row r="3" spans="1:28" x14ac:dyDescent="0.3">
      <c r="A3" t="s">
        <v>32</v>
      </c>
      <c r="B3" t="s">
        <v>26</v>
      </c>
      <c r="C3" t="s">
        <v>27</v>
      </c>
      <c r="D3" s="1">
        <v>45558</v>
      </c>
      <c r="E3" s="1">
        <v>45602</v>
      </c>
      <c r="F3" s="16">
        <f t="shared" ref="F3:F66" si="0">E3-D3</f>
        <v>44</v>
      </c>
      <c r="G3">
        <v>40324</v>
      </c>
      <c r="H3" t="s">
        <v>33</v>
      </c>
      <c r="I3">
        <v>151</v>
      </c>
      <c r="J3">
        <v>16</v>
      </c>
      <c r="K3">
        <v>11</v>
      </c>
      <c r="L3" s="11">
        <f t="shared" ref="L3:L66" si="1">K3/I3</f>
        <v>7.2847682119205295E-2</v>
      </c>
      <c r="M3" t="s">
        <v>34</v>
      </c>
      <c r="N3">
        <v>9</v>
      </c>
      <c r="O3">
        <v>19743</v>
      </c>
      <c r="P3">
        <v>74</v>
      </c>
      <c r="Q3">
        <v>75</v>
      </c>
      <c r="R3" s="6">
        <f t="shared" ref="R3:R66" si="2">Q3-P3</f>
        <v>1</v>
      </c>
      <c r="S3">
        <v>3</v>
      </c>
      <c r="T3">
        <v>97</v>
      </c>
      <c r="U3">
        <v>96</v>
      </c>
      <c r="V3" t="s">
        <v>35</v>
      </c>
      <c r="W3" t="s">
        <v>31</v>
      </c>
      <c r="X3">
        <v>34</v>
      </c>
      <c r="Y3">
        <v>11</v>
      </c>
      <c r="Z3">
        <v>25</v>
      </c>
      <c r="AA3">
        <v>30</v>
      </c>
      <c r="AB3">
        <v>41915</v>
      </c>
    </row>
    <row r="4" spans="1:28" x14ac:dyDescent="0.3">
      <c r="A4" t="s">
        <v>36</v>
      </c>
      <c r="B4" t="s">
        <v>37</v>
      </c>
      <c r="C4" t="s">
        <v>27</v>
      </c>
      <c r="D4" s="1">
        <v>45361</v>
      </c>
      <c r="E4" s="1">
        <v>45409</v>
      </c>
      <c r="F4" s="16">
        <f t="shared" si="0"/>
        <v>48</v>
      </c>
      <c r="G4">
        <v>46735</v>
      </c>
      <c r="H4" t="s">
        <v>38</v>
      </c>
      <c r="I4">
        <v>91</v>
      </c>
      <c r="J4">
        <v>1</v>
      </c>
      <c r="K4">
        <v>1</v>
      </c>
      <c r="L4" s="11">
        <f t="shared" si="1"/>
        <v>1.098901098901099E-2</v>
      </c>
      <c r="M4" t="s">
        <v>39</v>
      </c>
      <c r="N4">
        <v>38</v>
      </c>
      <c r="O4">
        <v>27821</v>
      </c>
      <c r="P4">
        <v>50</v>
      </c>
      <c r="Q4">
        <v>72</v>
      </c>
      <c r="R4" s="6">
        <f t="shared" si="2"/>
        <v>22</v>
      </c>
      <c r="S4">
        <v>5</v>
      </c>
      <c r="T4">
        <v>97</v>
      </c>
      <c r="U4">
        <v>75</v>
      </c>
      <c r="V4" t="s">
        <v>30</v>
      </c>
      <c r="W4" t="s">
        <v>31</v>
      </c>
      <c r="X4">
        <v>53</v>
      </c>
      <c r="Y4">
        <v>23</v>
      </c>
      <c r="Z4">
        <v>17</v>
      </c>
      <c r="AA4">
        <v>30</v>
      </c>
      <c r="AB4">
        <v>102524</v>
      </c>
    </row>
    <row r="5" spans="1:28" x14ac:dyDescent="0.3">
      <c r="A5" t="s">
        <v>40</v>
      </c>
      <c r="B5" t="s">
        <v>26</v>
      </c>
      <c r="C5" t="s">
        <v>27</v>
      </c>
      <c r="D5" s="1">
        <v>45613</v>
      </c>
      <c r="E5" s="1">
        <v>45620</v>
      </c>
      <c r="F5" s="16">
        <f t="shared" si="0"/>
        <v>7</v>
      </c>
      <c r="G5">
        <v>34772</v>
      </c>
      <c r="H5" t="s">
        <v>41</v>
      </c>
      <c r="I5">
        <v>125</v>
      </c>
      <c r="J5">
        <v>18</v>
      </c>
      <c r="K5">
        <v>4</v>
      </c>
      <c r="L5" s="11">
        <f t="shared" si="1"/>
        <v>3.2000000000000001E-2</v>
      </c>
      <c r="M5" t="s">
        <v>42</v>
      </c>
      <c r="N5">
        <v>17</v>
      </c>
      <c r="O5">
        <v>9141</v>
      </c>
      <c r="P5">
        <v>70</v>
      </c>
      <c r="Q5">
        <v>100</v>
      </c>
      <c r="R5" s="6">
        <f t="shared" si="2"/>
        <v>30</v>
      </c>
      <c r="S5">
        <v>2</v>
      </c>
      <c r="T5">
        <v>83</v>
      </c>
      <c r="U5">
        <v>89</v>
      </c>
      <c r="V5" t="s">
        <v>35</v>
      </c>
      <c r="W5" t="s">
        <v>43</v>
      </c>
      <c r="X5">
        <v>56</v>
      </c>
      <c r="Y5">
        <v>24</v>
      </c>
      <c r="Z5">
        <v>10</v>
      </c>
      <c r="AA5">
        <v>30</v>
      </c>
      <c r="AB5">
        <v>116203</v>
      </c>
    </row>
    <row r="6" spans="1:28" x14ac:dyDescent="0.3">
      <c r="A6" t="s">
        <v>44</v>
      </c>
      <c r="B6" t="s">
        <v>37</v>
      </c>
      <c r="C6" t="s">
        <v>45</v>
      </c>
      <c r="D6" s="1">
        <v>45383</v>
      </c>
      <c r="E6" s="1">
        <v>45399</v>
      </c>
      <c r="F6" s="16">
        <f t="shared" si="0"/>
        <v>16</v>
      </c>
      <c r="G6">
        <v>22710</v>
      </c>
      <c r="H6" t="s">
        <v>33</v>
      </c>
      <c r="I6">
        <v>86</v>
      </c>
      <c r="J6">
        <v>15</v>
      </c>
      <c r="K6">
        <v>9</v>
      </c>
      <c r="L6" s="11">
        <f t="shared" si="1"/>
        <v>0.10465116279069768</v>
      </c>
      <c r="M6" t="s">
        <v>46</v>
      </c>
      <c r="N6">
        <v>22</v>
      </c>
      <c r="O6">
        <v>1308</v>
      </c>
      <c r="P6">
        <v>42</v>
      </c>
      <c r="Q6">
        <v>65</v>
      </c>
      <c r="R6" s="6">
        <f t="shared" si="2"/>
        <v>23</v>
      </c>
      <c r="S6">
        <v>1</v>
      </c>
      <c r="T6">
        <v>75</v>
      </c>
      <c r="U6">
        <v>67</v>
      </c>
      <c r="V6" t="s">
        <v>35</v>
      </c>
      <c r="W6" t="s">
        <v>43</v>
      </c>
      <c r="X6">
        <v>37</v>
      </c>
      <c r="Y6">
        <v>10</v>
      </c>
      <c r="Z6">
        <v>11</v>
      </c>
      <c r="AA6">
        <v>30</v>
      </c>
      <c r="AB6">
        <v>41275</v>
      </c>
    </row>
    <row r="7" spans="1:28" x14ac:dyDescent="0.3">
      <c r="A7" t="s">
        <v>47</v>
      </c>
      <c r="B7" t="s">
        <v>26</v>
      </c>
      <c r="C7" t="s">
        <v>48</v>
      </c>
      <c r="D7" s="1">
        <v>45769</v>
      </c>
      <c r="E7" s="1">
        <v>45805</v>
      </c>
      <c r="F7" s="16">
        <f t="shared" si="0"/>
        <v>36</v>
      </c>
      <c r="G7">
        <v>30292</v>
      </c>
      <c r="H7" t="s">
        <v>41</v>
      </c>
      <c r="I7">
        <v>79</v>
      </c>
      <c r="J7">
        <v>8</v>
      </c>
      <c r="K7">
        <v>5</v>
      </c>
      <c r="L7" s="11">
        <f t="shared" si="1"/>
        <v>6.3291139240506333E-2</v>
      </c>
      <c r="M7" t="s">
        <v>49</v>
      </c>
      <c r="N7">
        <v>9</v>
      </c>
      <c r="O7">
        <v>2543</v>
      </c>
      <c r="P7">
        <v>44</v>
      </c>
      <c r="Q7">
        <v>57</v>
      </c>
      <c r="R7" s="6">
        <f t="shared" si="2"/>
        <v>13</v>
      </c>
      <c r="S7">
        <v>4</v>
      </c>
      <c r="T7">
        <v>96</v>
      </c>
      <c r="U7">
        <v>75</v>
      </c>
      <c r="V7" t="s">
        <v>30</v>
      </c>
      <c r="W7" t="s">
        <v>43</v>
      </c>
      <c r="X7">
        <v>25</v>
      </c>
      <c r="Y7">
        <v>17</v>
      </c>
      <c r="Z7">
        <v>24</v>
      </c>
      <c r="AA7">
        <v>30</v>
      </c>
      <c r="AB7">
        <v>25027</v>
      </c>
    </row>
    <row r="8" spans="1:28" x14ac:dyDescent="0.3">
      <c r="A8" t="s">
        <v>50</v>
      </c>
      <c r="B8" t="s">
        <v>37</v>
      </c>
      <c r="C8" t="s">
        <v>51</v>
      </c>
      <c r="D8" s="1">
        <v>45555</v>
      </c>
      <c r="E8" s="1">
        <v>45570</v>
      </c>
      <c r="F8" s="16">
        <f t="shared" si="0"/>
        <v>15</v>
      </c>
      <c r="G8">
        <v>31774</v>
      </c>
      <c r="H8" t="s">
        <v>52</v>
      </c>
      <c r="I8">
        <v>157</v>
      </c>
      <c r="J8">
        <v>18</v>
      </c>
      <c r="K8">
        <v>9</v>
      </c>
      <c r="L8" s="11">
        <f t="shared" si="1"/>
        <v>5.7324840764331211E-2</v>
      </c>
      <c r="M8" t="s">
        <v>53</v>
      </c>
      <c r="N8">
        <v>57</v>
      </c>
      <c r="O8">
        <v>11127</v>
      </c>
      <c r="P8">
        <v>45</v>
      </c>
      <c r="Q8">
        <v>70</v>
      </c>
      <c r="R8" s="6">
        <f t="shared" si="2"/>
        <v>25</v>
      </c>
      <c r="S8">
        <v>2</v>
      </c>
      <c r="T8">
        <v>91</v>
      </c>
      <c r="U8">
        <v>89</v>
      </c>
      <c r="V8" t="s">
        <v>35</v>
      </c>
      <c r="W8" t="s">
        <v>31</v>
      </c>
      <c r="X8">
        <v>23</v>
      </c>
      <c r="Y8">
        <v>17</v>
      </c>
      <c r="Z8">
        <v>25</v>
      </c>
      <c r="AA8">
        <v>30</v>
      </c>
      <c r="AB8">
        <v>110051</v>
      </c>
    </row>
    <row r="9" spans="1:28" x14ac:dyDescent="0.3">
      <c r="A9" t="s">
        <v>54</v>
      </c>
      <c r="B9" t="s">
        <v>55</v>
      </c>
      <c r="C9" t="s">
        <v>27</v>
      </c>
      <c r="D9" s="1">
        <v>45695</v>
      </c>
      <c r="E9" s="1">
        <v>45707</v>
      </c>
      <c r="F9" s="16">
        <f t="shared" si="0"/>
        <v>12</v>
      </c>
      <c r="G9">
        <v>42864</v>
      </c>
      <c r="H9" t="s">
        <v>33</v>
      </c>
      <c r="I9">
        <v>52</v>
      </c>
      <c r="J9">
        <v>3</v>
      </c>
      <c r="K9">
        <v>2</v>
      </c>
      <c r="L9" s="11">
        <f t="shared" si="1"/>
        <v>3.8461538461538464E-2</v>
      </c>
      <c r="M9" t="s">
        <v>56</v>
      </c>
      <c r="N9">
        <v>49</v>
      </c>
      <c r="O9">
        <v>13631</v>
      </c>
      <c r="P9">
        <v>81</v>
      </c>
      <c r="Q9">
        <v>100</v>
      </c>
      <c r="R9" s="6">
        <f t="shared" si="2"/>
        <v>19</v>
      </c>
      <c r="S9">
        <v>2</v>
      </c>
      <c r="T9">
        <v>80</v>
      </c>
      <c r="U9">
        <v>79</v>
      </c>
      <c r="V9" t="s">
        <v>35</v>
      </c>
      <c r="W9" t="s">
        <v>43</v>
      </c>
      <c r="X9">
        <v>52</v>
      </c>
      <c r="Y9">
        <v>15</v>
      </c>
      <c r="Z9">
        <v>16</v>
      </c>
      <c r="AA9">
        <v>30</v>
      </c>
      <c r="AB9">
        <v>55574</v>
      </c>
    </row>
    <row r="10" spans="1:28" x14ac:dyDescent="0.3">
      <c r="A10" t="s">
        <v>57</v>
      </c>
      <c r="B10" t="s">
        <v>37</v>
      </c>
      <c r="C10" t="s">
        <v>27</v>
      </c>
      <c r="D10" s="1">
        <v>45728</v>
      </c>
      <c r="E10" s="1">
        <v>45764</v>
      </c>
      <c r="F10" s="16">
        <f t="shared" si="0"/>
        <v>36</v>
      </c>
      <c r="G10">
        <v>29448</v>
      </c>
      <c r="H10" t="s">
        <v>33</v>
      </c>
      <c r="I10">
        <v>30</v>
      </c>
      <c r="J10">
        <v>16</v>
      </c>
      <c r="K10">
        <v>9</v>
      </c>
      <c r="L10" s="11">
        <f t="shared" si="1"/>
        <v>0.3</v>
      </c>
      <c r="M10" t="s">
        <v>58</v>
      </c>
      <c r="N10">
        <v>14</v>
      </c>
      <c r="O10">
        <v>3171</v>
      </c>
      <c r="P10">
        <v>76</v>
      </c>
      <c r="Q10">
        <v>96</v>
      </c>
      <c r="R10" s="6">
        <f t="shared" si="2"/>
        <v>20</v>
      </c>
      <c r="S10">
        <v>1</v>
      </c>
      <c r="T10">
        <v>79</v>
      </c>
      <c r="U10">
        <v>69</v>
      </c>
      <c r="V10" t="s">
        <v>35</v>
      </c>
      <c r="W10" t="s">
        <v>31</v>
      </c>
      <c r="X10">
        <v>52</v>
      </c>
      <c r="Y10">
        <v>4</v>
      </c>
      <c r="Z10">
        <v>1</v>
      </c>
      <c r="AA10">
        <v>30</v>
      </c>
      <c r="AB10">
        <v>60942</v>
      </c>
    </row>
    <row r="11" spans="1:28" x14ac:dyDescent="0.3">
      <c r="A11" t="s">
        <v>59</v>
      </c>
      <c r="B11" t="s">
        <v>37</v>
      </c>
      <c r="C11" t="s">
        <v>60</v>
      </c>
      <c r="D11" s="1">
        <v>45646</v>
      </c>
      <c r="E11" s="1">
        <v>45653</v>
      </c>
      <c r="F11" s="16">
        <f t="shared" si="0"/>
        <v>7</v>
      </c>
      <c r="G11">
        <v>19951</v>
      </c>
      <c r="H11" t="s">
        <v>52</v>
      </c>
      <c r="I11">
        <v>107</v>
      </c>
      <c r="J11">
        <v>5</v>
      </c>
      <c r="K11">
        <v>2</v>
      </c>
      <c r="L11" s="11">
        <f t="shared" si="1"/>
        <v>1.8691588785046728E-2</v>
      </c>
      <c r="M11" t="s">
        <v>61</v>
      </c>
      <c r="N11">
        <v>72</v>
      </c>
      <c r="O11">
        <v>4781</v>
      </c>
      <c r="P11">
        <v>45</v>
      </c>
      <c r="Q11">
        <v>66</v>
      </c>
      <c r="R11" s="6">
        <f t="shared" si="2"/>
        <v>21</v>
      </c>
      <c r="S11">
        <v>1</v>
      </c>
      <c r="T11">
        <v>89</v>
      </c>
      <c r="U11">
        <v>53</v>
      </c>
      <c r="V11" t="s">
        <v>35</v>
      </c>
      <c r="W11" t="s">
        <v>31</v>
      </c>
      <c r="X11">
        <v>57</v>
      </c>
      <c r="Y11">
        <v>1</v>
      </c>
      <c r="Z11">
        <v>5</v>
      </c>
      <c r="AA11">
        <v>30</v>
      </c>
      <c r="AB11">
        <v>51554</v>
      </c>
    </row>
    <row r="12" spans="1:28" x14ac:dyDescent="0.3">
      <c r="A12" t="s">
        <v>62</v>
      </c>
      <c r="B12" t="s">
        <v>37</v>
      </c>
      <c r="C12" t="s">
        <v>60</v>
      </c>
      <c r="D12" s="1">
        <v>45588</v>
      </c>
      <c r="E12" s="1">
        <v>45617</v>
      </c>
      <c r="F12" s="16">
        <f t="shared" si="0"/>
        <v>29</v>
      </c>
      <c r="G12">
        <v>12361</v>
      </c>
      <c r="H12" t="s">
        <v>41</v>
      </c>
      <c r="I12">
        <v>179</v>
      </c>
      <c r="J12">
        <v>19</v>
      </c>
      <c r="K12">
        <v>16</v>
      </c>
      <c r="L12" s="11">
        <f t="shared" si="1"/>
        <v>8.9385474860335198E-2</v>
      </c>
      <c r="M12" t="s">
        <v>63</v>
      </c>
      <c r="N12">
        <v>78</v>
      </c>
      <c r="O12">
        <v>6572</v>
      </c>
      <c r="P12">
        <v>62</v>
      </c>
      <c r="Q12">
        <v>87</v>
      </c>
      <c r="R12" s="6">
        <f t="shared" si="2"/>
        <v>25</v>
      </c>
      <c r="S12">
        <v>2</v>
      </c>
      <c r="T12">
        <v>90</v>
      </c>
      <c r="U12">
        <v>98</v>
      </c>
      <c r="V12" t="s">
        <v>35</v>
      </c>
      <c r="W12" t="s">
        <v>31</v>
      </c>
      <c r="X12">
        <v>32</v>
      </c>
      <c r="Y12">
        <v>2</v>
      </c>
      <c r="Z12">
        <v>22</v>
      </c>
      <c r="AA12">
        <v>30</v>
      </c>
      <c r="AB12">
        <v>28609</v>
      </c>
    </row>
    <row r="13" spans="1:28" x14ac:dyDescent="0.3">
      <c r="A13" t="s">
        <v>64</v>
      </c>
      <c r="B13" t="s">
        <v>26</v>
      </c>
      <c r="C13" t="s">
        <v>51</v>
      </c>
      <c r="D13" s="1">
        <v>45691</v>
      </c>
      <c r="E13" s="1">
        <v>45749</v>
      </c>
      <c r="F13" s="16">
        <f t="shared" si="0"/>
        <v>58</v>
      </c>
      <c r="G13">
        <v>30493</v>
      </c>
      <c r="H13" t="s">
        <v>52</v>
      </c>
      <c r="I13">
        <v>106</v>
      </c>
      <c r="J13">
        <v>5</v>
      </c>
      <c r="K13">
        <v>2</v>
      </c>
      <c r="L13" s="11">
        <f t="shared" si="1"/>
        <v>1.8867924528301886E-2</v>
      </c>
      <c r="M13" t="s">
        <v>65</v>
      </c>
      <c r="N13">
        <v>10</v>
      </c>
      <c r="O13">
        <v>14629</v>
      </c>
      <c r="P13">
        <v>77</v>
      </c>
      <c r="Q13">
        <v>93</v>
      </c>
      <c r="R13" s="6">
        <f t="shared" si="2"/>
        <v>16</v>
      </c>
      <c r="S13">
        <v>5</v>
      </c>
      <c r="T13">
        <v>89</v>
      </c>
      <c r="U13">
        <v>75</v>
      </c>
      <c r="V13" t="s">
        <v>35</v>
      </c>
      <c r="W13" t="s">
        <v>43</v>
      </c>
      <c r="X13">
        <v>57</v>
      </c>
      <c r="Y13">
        <v>1</v>
      </c>
      <c r="Z13">
        <v>12</v>
      </c>
      <c r="AA13">
        <v>30</v>
      </c>
      <c r="AB13">
        <v>103849</v>
      </c>
    </row>
    <row r="14" spans="1:28" x14ac:dyDescent="0.3">
      <c r="A14" t="s">
        <v>66</v>
      </c>
      <c r="B14" t="s">
        <v>67</v>
      </c>
      <c r="C14" t="s">
        <v>27</v>
      </c>
      <c r="D14" s="1">
        <v>45766</v>
      </c>
      <c r="E14" s="1">
        <v>45787</v>
      </c>
      <c r="F14" s="16">
        <f t="shared" si="0"/>
        <v>21</v>
      </c>
      <c r="G14">
        <v>29417</v>
      </c>
      <c r="H14" t="s">
        <v>38</v>
      </c>
      <c r="I14">
        <v>142</v>
      </c>
      <c r="J14">
        <v>13</v>
      </c>
      <c r="K14">
        <v>2</v>
      </c>
      <c r="L14" s="11">
        <f t="shared" si="1"/>
        <v>1.4084507042253521E-2</v>
      </c>
      <c r="M14" t="s">
        <v>68</v>
      </c>
      <c r="N14">
        <v>56</v>
      </c>
      <c r="O14">
        <v>3909</v>
      </c>
      <c r="P14">
        <v>83</v>
      </c>
      <c r="Q14">
        <v>93</v>
      </c>
      <c r="R14" s="6">
        <f t="shared" si="2"/>
        <v>10</v>
      </c>
      <c r="S14">
        <v>2</v>
      </c>
      <c r="T14">
        <v>75</v>
      </c>
      <c r="U14">
        <v>84</v>
      </c>
      <c r="V14" t="s">
        <v>30</v>
      </c>
      <c r="W14" t="s">
        <v>43</v>
      </c>
      <c r="X14">
        <v>59</v>
      </c>
      <c r="Y14">
        <v>3</v>
      </c>
      <c r="Z14">
        <v>3</v>
      </c>
      <c r="AA14">
        <v>30</v>
      </c>
      <c r="AB14">
        <v>81419</v>
      </c>
    </row>
    <row r="15" spans="1:28" x14ac:dyDescent="0.3">
      <c r="A15" t="s">
        <v>69</v>
      </c>
      <c r="B15" t="s">
        <v>67</v>
      </c>
      <c r="C15" t="s">
        <v>51</v>
      </c>
      <c r="D15" s="1">
        <v>45626</v>
      </c>
      <c r="E15" s="1">
        <v>45667</v>
      </c>
      <c r="F15" s="16">
        <f t="shared" si="0"/>
        <v>41</v>
      </c>
      <c r="G15">
        <v>10715</v>
      </c>
      <c r="H15" t="s">
        <v>38</v>
      </c>
      <c r="I15">
        <v>91</v>
      </c>
      <c r="J15">
        <v>9</v>
      </c>
      <c r="K15">
        <v>9</v>
      </c>
      <c r="L15" s="11">
        <f t="shared" si="1"/>
        <v>9.8901098901098897E-2</v>
      </c>
      <c r="M15" t="s">
        <v>70</v>
      </c>
      <c r="N15">
        <v>72</v>
      </c>
      <c r="O15">
        <v>5122</v>
      </c>
      <c r="P15">
        <v>44</v>
      </c>
      <c r="Q15">
        <v>48</v>
      </c>
      <c r="R15" s="6">
        <f t="shared" si="2"/>
        <v>4</v>
      </c>
      <c r="S15">
        <v>4</v>
      </c>
      <c r="T15">
        <v>81</v>
      </c>
      <c r="U15">
        <v>85</v>
      </c>
      <c r="V15" t="s">
        <v>35</v>
      </c>
      <c r="W15" t="s">
        <v>43</v>
      </c>
      <c r="X15">
        <v>53</v>
      </c>
      <c r="Y15">
        <v>14</v>
      </c>
      <c r="Z15">
        <v>25</v>
      </c>
      <c r="AA15">
        <v>30</v>
      </c>
      <c r="AB15">
        <v>58266</v>
      </c>
    </row>
    <row r="16" spans="1:28" x14ac:dyDescent="0.3">
      <c r="A16" t="s">
        <v>71</v>
      </c>
      <c r="B16" t="s">
        <v>72</v>
      </c>
      <c r="C16" t="s">
        <v>51</v>
      </c>
      <c r="D16" s="1">
        <v>45568</v>
      </c>
      <c r="E16" s="1">
        <v>45597</v>
      </c>
      <c r="F16" s="16">
        <f t="shared" si="0"/>
        <v>29</v>
      </c>
      <c r="G16">
        <v>16159</v>
      </c>
      <c r="H16" t="s">
        <v>38</v>
      </c>
      <c r="I16">
        <v>117</v>
      </c>
      <c r="J16">
        <v>1</v>
      </c>
      <c r="K16">
        <v>1</v>
      </c>
      <c r="L16" s="11">
        <f t="shared" si="1"/>
        <v>8.5470085470085479E-3</v>
      </c>
      <c r="M16" t="s">
        <v>73</v>
      </c>
      <c r="N16">
        <v>52</v>
      </c>
      <c r="O16">
        <v>16198</v>
      </c>
      <c r="P16">
        <v>51</v>
      </c>
      <c r="Q16">
        <v>54</v>
      </c>
      <c r="R16" s="6">
        <f t="shared" si="2"/>
        <v>3</v>
      </c>
      <c r="S16">
        <v>5</v>
      </c>
      <c r="T16">
        <v>97</v>
      </c>
      <c r="U16">
        <v>93</v>
      </c>
      <c r="V16" t="s">
        <v>35</v>
      </c>
      <c r="W16" t="s">
        <v>43</v>
      </c>
      <c r="X16">
        <v>40</v>
      </c>
      <c r="Y16">
        <v>2</v>
      </c>
      <c r="Z16">
        <v>13</v>
      </c>
      <c r="AA16">
        <v>30</v>
      </c>
      <c r="AB16">
        <v>107609</v>
      </c>
    </row>
    <row r="17" spans="1:28" x14ac:dyDescent="0.3">
      <c r="A17" t="s">
        <v>74</v>
      </c>
      <c r="B17" t="s">
        <v>72</v>
      </c>
      <c r="C17" t="s">
        <v>51</v>
      </c>
      <c r="D17" s="1">
        <v>45629</v>
      </c>
      <c r="E17" s="1">
        <v>45682</v>
      </c>
      <c r="F17" s="16">
        <f t="shared" si="0"/>
        <v>53</v>
      </c>
      <c r="G17">
        <v>7680</v>
      </c>
      <c r="H17" t="s">
        <v>33</v>
      </c>
      <c r="I17">
        <v>75</v>
      </c>
      <c r="J17">
        <v>11</v>
      </c>
      <c r="K17">
        <v>3</v>
      </c>
      <c r="L17" s="11">
        <f t="shared" si="1"/>
        <v>0.04</v>
      </c>
      <c r="M17" t="s">
        <v>75</v>
      </c>
      <c r="N17">
        <v>30</v>
      </c>
      <c r="O17">
        <v>28195</v>
      </c>
      <c r="P17">
        <v>68</v>
      </c>
      <c r="Q17">
        <v>83</v>
      </c>
      <c r="R17" s="6">
        <f t="shared" si="2"/>
        <v>15</v>
      </c>
      <c r="S17">
        <v>1</v>
      </c>
      <c r="T17">
        <v>93</v>
      </c>
      <c r="U17">
        <v>85</v>
      </c>
      <c r="V17" t="s">
        <v>35</v>
      </c>
      <c r="W17" t="s">
        <v>31</v>
      </c>
      <c r="X17">
        <v>60</v>
      </c>
      <c r="Y17">
        <v>14</v>
      </c>
      <c r="Z17">
        <v>25</v>
      </c>
      <c r="AA17">
        <v>30</v>
      </c>
      <c r="AB17">
        <v>69008</v>
      </c>
    </row>
    <row r="18" spans="1:28" x14ac:dyDescent="0.3">
      <c r="A18" t="s">
        <v>76</v>
      </c>
      <c r="B18" t="s">
        <v>77</v>
      </c>
      <c r="C18" t="s">
        <v>27</v>
      </c>
      <c r="D18" s="1">
        <v>45337</v>
      </c>
      <c r="E18" s="1">
        <v>45380</v>
      </c>
      <c r="F18" s="16">
        <f t="shared" si="0"/>
        <v>43</v>
      </c>
      <c r="G18">
        <v>5790</v>
      </c>
      <c r="H18" t="s">
        <v>33</v>
      </c>
      <c r="I18">
        <v>97</v>
      </c>
      <c r="J18">
        <v>5</v>
      </c>
      <c r="K18">
        <v>1</v>
      </c>
      <c r="L18" s="11">
        <f t="shared" si="1"/>
        <v>1.0309278350515464E-2</v>
      </c>
      <c r="M18" t="s">
        <v>78</v>
      </c>
      <c r="N18">
        <v>33</v>
      </c>
      <c r="O18">
        <v>14006</v>
      </c>
      <c r="P18">
        <v>56</v>
      </c>
      <c r="Q18">
        <v>76</v>
      </c>
      <c r="R18" s="6">
        <f t="shared" si="2"/>
        <v>20</v>
      </c>
      <c r="S18">
        <v>3</v>
      </c>
      <c r="T18">
        <v>75</v>
      </c>
      <c r="U18">
        <v>100</v>
      </c>
      <c r="V18" t="s">
        <v>35</v>
      </c>
      <c r="W18" t="s">
        <v>43</v>
      </c>
      <c r="X18">
        <v>25</v>
      </c>
      <c r="Y18">
        <v>1</v>
      </c>
      <c r="Z18">
        <v>1</v>
      </c>
      <c r="AA18">
        <v>30</v>
      </c>
      <c r="AB18">
        <v>38664</v>
      </c>
    </row>
    <row r="19" spans="1:28" x14ac:dyDescent="0.3">
      <c r="A19" t="s">
        <v>79</v>
      </c>
      <c r="B19" t="s">
        <v>26</v>
      </c>
      <c r="C19" t="s">
        <v>48</v>
      </c>
      <c r="D19" s="1">
        <v>45469</v>
      </c>
      <c r="E19" s="1">
        <v>45509</v>
      </c>
      <c r="F19" s="16">
        <f t="shared" si="0"/>
        <v>40</v>
      </c>
      <c r="G19">
        <v>9251</v>
      </c>
      <c r="H19" t="s">
        <v>33</v>
      </c>
      <c r="I19">
        <v>197</v>
      </c>
      <c r="J19">
        <v>12</v>
      </c>
      <c r="K19">
        <v>1</v>
      </c>
      <c r="L19" s="11">
        <f t="shared" si="1"/>
        <v>5.076142131979695E-3</v>
      </c>
      <c r="M19" t="s">
        <v>80</v>
      </c>
      <c r="N19">
        <v>64</v>
      </c>
      <c r="O19">
        <v>16895</v>
      </c>
      <c r="P19">
        <v>70</v>
      </c>
      <c r="Q19">
        <v>87</v>
      </c>
      <c r="R19" s="6">
        <f t="shared" si="2"/>
        <v>17</v>
      </c>
      <c r="S19">
        <v>3</v>
      </c>
      <c r="T19">
        <v>100</v>
      </c>
      <c r="U19">
        <v>76</v>
      </c>
      <c r="V19" t="s">
        <v>35</v>
      </c>
      <c r="W19" t="s">
        <v>43</v>
      </c>
      <c r="X19">
        <v>55</v>
      </c>
      <c r="Y19">
        <v>2</v>
      </c>
      <c r="Z19">
        <v>24</v>
      </c>
      <c r="AA19">
        <v>30</v>
      </c>
      <c r="AB19">
        <v>77008</v>
      </c>
    </row>
    <row r="20" spans="1:28" x14ac:dyDescent="0.3">
      <c r="A20" t="s">
        <v>81</v>
      </c>
      <c r="B20" t="s">
        <v>67</v>
      </c>
      <c r="C20" t="s">
        <v>51</v>
      </c>
      <c r="D20" s="1">
        <v>45760</v>
      </c>
      <c r="E20" s="1">
        <v>45797</v>
      </c>
      <c r="F20" s="16">
        <f t="shared" si="0"/>
        <v>37</v>
      </c>
      <c r="G20">
        <v>20594</v>
      </c>
      <c r="H20" t="s">
        <v>33</v>
      </c>
      <c r="I20">
        <v>53</v>
      </c>
      <c r="J20">
        <v>13</v>
      </c>
      <c r="K20">
        <v>1</v>
      </c>
      <c r="L20" s="11">
        <f t="shared" si="1"/>
        <v>1.8867924528301886E-2</v>
      </c>
      <c r="M20" t="s">
        <v>82</v>
      </c>
      <c r="N20">
        <v>23</v>
      </c>
      <c r="O20">
        <v>15616</v>
      </c>
      <c r="P20">
        <v>61</v>
      </c>
      <c r="Q20">
        <v>63</v>
      </c>
      <c r="R20" s="6">
        <f t="shared" si="2"/>
        <v>2</v>
      </c>
      <c r="S20">
        <v>2</v>
      </c>
      <c r="T20">
        <v>96</v>
      </c>
      <c r="U20">
        <v>84</v>
      </c>
      <c r="V20" t="s">
        <v>35</v>
      </c>
      <c r="W20" t="s">
        <v>43</v>
      </c>
      <c r="X20">
        <v>46</v>
      </c>
      <c r="Y20">
        <v>15</v>
      </c>
      <c r="Z20">
        <v>5</v>
      </c>
      <c r="AA20">
        <v>30</v>
      </c>
      <c r="AB20">
        <v>116106</v>
      </c>
    </row>
    <row r="21" spans="1:28" x14ac:dyDescent="0.3">
      <c r="A21" t="s">
        <v>83</v>
      </c>
      <c r="B21" t="s">
        <v>55</v>
      </c>
      <c r="C21" t="s">
        <v>51</v>
      </c>
      <c r="D21" s="1">
        <v>45667</v>
      </c>
      <c r="E21" s="1">
        <v>45704</v>
      </c>
      <c r="F21" s="16">
        <f t="shared" si="0"/>
        <v>37</v>
      </c>
      <c r="G21">
        <v>18028</v>
      </c>
      <c r="H21" t="s">
        <v>33</v>
      </c>
      <c r="I21">
        <v>105</v>
      </c>
      <c r="J21">
        <v>4</v>
      </c>
      <c r="K21">
        <v>2</v>
      </c>
      <c r="L21" s="11">
        <f t="shared" si="1"/>
        <v>1.9047619047619049E-2</v>
      </c>
      <c r="M21" t="s">
        <v>84</v>
      </c>
      <c r="N21">
        <v>78</v>
      </c>
      <c r="O21">
        <v>27835</v>
      </c>
      <c r="P21">
        <v>79</v>
      </c>
      <c r="Q21">
        <v>95</v>
      </c>
      <c r="R21" s="6">
        <f t="shared" si="2"/>
        <v>16</v>
      </c>
      <c r="S21">
        <v>4</v>
      </c>
      <c r="T21">
        <v>75</v>
      </c>
      <c r="U21">
        <v>54</v>
      </c>
      <c r="V21" t="s">
        <v>35</v>
      </c>
      <c r="W21" t="s">
        <v>43</v>
      </c>
      <c r="X21">
        <v>59</v>
      </c>
      <c r="Y21">
        <v>3</v>
      </c>
      <c r="Z21">
        <v>5</v>
      </c>
      <c r="AA21">
        <v>30</v>
      </c>
      <c r="AB21">
        <v>105397</v>
      </c>
    </row>
    <row r="22" spans="1:28" x14ac:dyDescent="0.3">
      <c r="A22" t="s">
        <v>85</v>
      </c>
      <c r="B22" t="s">
        <v>77</v>
      </c>
      <c r="C22" t="s">
        <v>86</v>
      </c>
      <c r="D22" s="1">
        <v>45781</v>
      </c>
      <c r="E22" s="1">
        <v>45831</v>
      </c>
      <c r="F22" s="16">
        <f t="shared" si="0"/>
        <v>50</v>
      </c>
      <c r="G22">
        <v>24872</v>
      </c>
      <c r="H22" t="s">
        <v>33</v>
      </c>
      <c r="I22">
        <v>52</v>
      </c>
      <c r="J22">
        <v>6</v>
      </c>
      <c r="K22">
        <v>4</v>
      </c>
      <c r="L22" s="11">
        <f t="shared" si="1"/>
        <v>7.6923076923076927E-2</v>
      </c>
      <c r="M22" t="s">
        <v>87</v>
      </c>
      <c r="N22">
        <v>56</v>
      </c>
      <c r="O22">
        <v>4080</v>
      </c>
      <c r="P22">
        <v>74</v>
      </c>
      <c r="Q22">
        <v>91</v>
      </c>
      <c r="R22" s="6">
        <f t="shared" si="2"/>
        <v>17</v>
      </c>
      <c r="S22">
        <v>2</v>
      </c>
      <c r="T22">
        <v>85</v>
      </c>
      <c r="U22">
        <v>61</v>
      </c>
      <c r="V22" t="s">
        <v>35</v>
      </c>
      <c r="W22" t="s">
        <v>31</v>
      </c>
      <c r="X22">
        <v>29</v>
      </c>
      <c r="Y22">
        <v>4</v>
      </c>
      <c r="Z22">
        <v>7</v>
      </c>
      <c r="AA22">
        <v>30</v>
      </c>
      <c r="AB22">
        <v>52521</v>
      </c>
    </row>
    <row r="23" spans="1:28" x14ac:dyDescent="0.3">
      <c r="A23" t="s">
        <v>88</v>
      </c>
      <c r="B23" t="s">
        <v>37</v>
      </c>
      <c r="C23" t="s">
        <v>86</v>
      </c>
      <c r="D23" s="1">
        <v>45303</v>
      </c>
      <c r="E23" s="1">
        <v>45320</v>
      </c>
      <c r="F23" s="16">
        <f t="shared" si="0"/>
        <v>17</v>
      </c>
      <c r="G23">
        <v>33132</v>
      </c>
      <c r="H23" t="s">
        <v>52</v>
      </c>
      <c r="I23">
        <v>181</v>
      </c>
      <c r="J23">
        <v>7</v>
      </c>
      <c r="K23">
        <v>4</v>
      </c>
      <c r="L23" s="11">
        <f t="shared" si="1"/>
        <v>2.2099447513812154E-2</v>
      </c>
      <c r="M23" t="s">
        <v>89</v>
      </c>
      <c r="N23">
        <v>1</v>
      </c>
      <c r="O23">
        <v>25972</v>
      </c>
      <c r="P23">
        <v>56</v>
      </c>
      <c r="Q23">
        <v>66</v>
      </c>
      <c r="R23" s="6">
        <f t="shared" si="2"/>
        <v>10</v>
      </c>
      <c r="S23">
        <v>1</v>
      </c>
      <c r="T23">
        <v>89</v>
      </c>
      <c r="U23">
        <v>64</v>
      </c>
      <c r="V23" t="s">
        <v>30</v>
      </c>
      <c r="W23" t="s">
        <v>43</v>
      </c>
      <c r="X23">
        <v>30</v>
      </c>
      <c r="Y23">
        <v>6</v>
      </c>
      <c r="Z23">
        <v>24</v>
      </c>
      <c r="AA23">
        <v>30</v>
      </c>
      <c r="AB23">
        <v>89043</v>
      </c>
    </row>
    <row r="24" spans="1:28" x14ac:dyDescent="0.3">
      <c r="A24" t="s">
        <v>90</v>
      </c>
      <c r="B24" t="s">
        <v>37</v>
      </c>
      <c r="C24" t="s">
        <v>45</v>
      </c>
      <c r="D24" s="1">
        <v>45708</v>
      </c>
      <c r="E24" s="1">
        <v>45758</v>
      </c>
      <c r="F24" s="16">
        <f t="shared" si="0"/>
        <v>50</v>
      </c>
      <c r="G24">
        <v>21184</v>
      </c>
      <c r="H24" t="s">
        <v>52</v>
      </c>
      <c r="I24">
        <v>66</v>
      </c>
      <c r="J24">
        <v>9</v>
      </c>
      <c r="K24">
        <v>6</v>
      </c>
      <c r="L24" s="11">
        <f t="shared" si="1"/>
        <v>9.0909090909090912E-2</v>
      </c>
      <c r="M24" t="s">
        <v>91</v>
      </c>
      <c r="N24">
        <v>73</v>
      </c>
      <c r="O24">
        <v>3801</v>
      </c>
      <c r="P24">
        <v>84</v>
      </c>
      <c r="Q24">
        <v>96</v>
      </c>
      <c r="R24" s="6">
        <f t="shared" si="2"/>
        <v>12</v>
      </c>
      <c r="S24">
        <v>2</v>
      </c>
      <c r="T24">
        <v>94</v>
      </c>
      <c r="U24">
        <v>87</v>
      </c>
      <c r="V24" t="s">
        <v>35</v>
      </c>
      <c r="W24" t="s">
        <v>43</v>
      </c>
      <c r="X24">
        <v>34</v>
      </c>
      <c r="Y24">
        <v>14</v>
      </c>
      <c r="Z24">
        <v>24</v>
      </c>
      <c r="AA24">
        <v>30</v>
      </c>
      <c r="AB24">
        <v>109368</v>
      </c>
    </row>
    <row r="25" spans="1:28" x14ac:dyDescent="0.3">
      <c r="A25" t="s">
        <v>92</v>
      </c>
      <c r="B25" t="s">
        <v>26</v>
      </c>
      <c r="C25" t="s">
        <v>45</v>
      </c>
      <c r="D25" s="1">
        <v>45693</v>
      </c>
      <c r="E25" s="1">
        <v>45707</v>
      </c>
      <c r="F25" s="16">
        <f t="shared" si="0"/>
        <v>14</v>
      </c>
      <c r="G25">
        <v>30883</v>
      </c>
      <c r="H25" t="s">
        <v>52</v>
      </c>
      <c r="I25">
        <v>198</v>
      </c>
      <c r="J25">
        <v>17</v>
      </c>
      <c r="K25">
        <v>11</v>
      </c>
      <c r="L25" s="11">
        <f t="shared" si="1"/>
        <v>5.5555555555555552E-2</v>
      </c>
      <c r="M25" t="s">
        <v>93</v>
      </c>
      <c r="N25">
        <v>64</v>
      </c>
      <c r="O25">
        <v>19638</v>
      </c>
      <c r="P25">
        <v>44</v>
      </c>
      <c r="Q25">
        <v>58</v>
      </c>
      <c r="R25" s="6">
        <f t="shared" si="2"/>
        <v>14</v>
      </c>
      <c r="S25">
        <v>1</v>
      </c>
      <c r="T25">
        <v>93</v>
      </c>
      <c r="U25">
        <v>59</v>
      </c>
      <c r="V25" t="s">
        <v>35</v>
      </c>
      <c r="W25" t="s">
        <v>43</v>
      </c>
      <c r="X25">
        <v>40</v>
      </c>
      <c r="Y25">
        <v>18</v>
      </c>
      <c r="Z25">
        <v>15</v>
      </c>
      <c r="AA25">
        <v>30</v>
      </c>
      <c r="AB25">
        <v>90092</v>
      </c>
    </row>
    <row r="26" spans="1:28" x14ac:dyDescent="0.3">
      <c r="A26" t="s">
        <v>94</v>
      </c>
      <c r="B26" t="s">
        <v>77</v>
      </c>
      <c r="C26" t="s">
        <v>86</v>
      </c>
      <c r="D26" s="1">
        <v>45441</v>
      </c>
      <c r="E26" s="1">
        <v>45455</v>
      </c>
      <c r="F26" s="16">
        <f t="shared" si="0"/>
        <v>14</v>
      </c>
      <c r="G26">
        <v>48025</v>
      </c>
      <c r="H26" t="s">
        <v>33</v>
      </c>
      <c r="I26">
        <v>192</v>
      </c>
      <c r="J26">
        <v>5</v>
      </c>
      <c r="K26">
        <v>3</v>
      </c>
      <c r="L26" s="11">
        <f t="shared" si="1"/>
        <v>1.5625E-2</v>
      </c>
      <c r="M26" t="s">
        <v>95</v>
      </c>
      <c r="N26">
        <v>72</v>
      </c>
      <c r="O26">
        <v>10129</v>
      </c>
      <c r="P26">
        <v>65</v>
      </c>
      <c r="Q26">
        <v>82</v>
      </c>
      <c r="R26" s="6">
        <f t="shared" si="2"/>
        <v>17</v>
      </c>
      <c r="S26">
        <v>5</v>
      </c>
      <c r="T26">
        <v>94</v>
      </c>
      <c r="U26">
        <v>92</v>
      </c>
      <c r="V26" t="s">
        <v>35</v>
      </c>
      <c r="W26" t="s">
        <v>43</v>
      </c>
      <c r="X26">
        <v>44</v>
      </c>
      <c r="Y26">
        <v>13</v>
      </c>
      <c r="Z26">
        <v>17</v>
      </c>
      <c r="AA26">
        <v>30</v>
      </c>
      <c r="AB26">
        <v>116038</v>
      </c>
    </row>
    <row r="27" spans="1:28" x14ac:dyDescent="0.3">
      <c r="A27" t="s">
        <v>96</v>
      </c>
      <c r="B27" t="s">
        <v>55</v>
      </c>
      <c r="C27" t="s">
        <v>86</v>
      </c>
      <c r="D27" s="1">
        <v>45686</v>
      </c>
      <c r="E27" s="1">
        <v>45722</v>
      </c>
      <c r="F27" s="16">
        <f t="shared" si="0"/>
        <v>36</v>
      </c>
      <c r="G27">
        <v>37128</v>
      </c>
      <c r="H27" t="s">
        <v>38</v>
      </c>
      <c r="I27">
        <v>93</v>
      </c>
      <c r="J27">
        <v>9</v>
      </c>
      <c r="K27">
        <v>8</v>
      </c>
      <c r="L27" s="11">
        <f t="shared" si="1"/>
        <v>8.6021505376344093E-2</v>
      </c>
      <c r="M27" t="s">
        <v>97</v>
      </c>
      <c r="N27">
        <v>34</v>
      </c>
      <c r="O27">
        <v>4016</v>
      </c>
      <c r="P27">
        <v>84</v>
      </c>
      <c r="Q27">
        <v>94</v>
      </c>
      <c r="R27" s="6">
        <f t="shared" si="2"/>
        <v>10</v>
      </c>
      <c r="S27">
        <v>4</v>
      </c>
      <c r="T27">
        <v>81</v>
      </c>
      <c r="U27">
        <v>58</v>
      </c>
      <c r="V27" t="s">
        <v>35</v>
      </c>
      <c r="W27" t="s">
        <v>31</v>
      </c>
      <c r="X27">
        <v>44</v>
      </c>
      <c r="Y27">
        <v>16</v>
      </c>
      <c r="Z27">
        <v>22</v>
      </c>
      <c r="AA27">
        <v>30</v>
      </c>
      <c r="AB27">
        <v>51915</v>
      </c>
    </row>
    <row r="28" spans="1:28" x14ac:dyDescent="0.3">
      <c r="A28" t="s">
        <v>98</v>
      </c>
      <c r="B28" t="s">
        <v>67</v>
      </c>
      <c r="C28" t="s">
        <v>86</v>
      </c>
      <c r="D28" s="1">
        <v>45292</v>
      </c>
      <c r="E28" s="1">
        <v>45306</v>
      </c>
      <c r="F28" s="16">
        <f t="shared" si="0"/>
        <v>14</v>
      </c>
      <c r="G28">
        <v>23804</v>
      </c>
      <c r="H28" t="s">
        <v>41</v>
      </c>
      <c r="I28">
        <v>70</v>
      </c>
      <c r="J28">
        <v>18</v>
      </c>
      <c r="K28">
        <v>12</v>
      </c>
      <c r="L28" s="11">
        <f t="shared" si="1"/>
        <v>0.17142857142857143</v>
      </c>
      <c r="M28" t="s">
        <v>99</v>
      </c>
      <c r="N28">
        <v>44</v>
      </c>
      <c r="O28">
        <v>1600</v>
      </c>
      <c r="P28">
        <v>51</v>
      </c>
      <c r="Q28">
        <v>79</v>
      </c>
      <c r="R28" s="6">
        <f t="shared" si="2"/>
        <v>28</v>
      </c>
      <c r="S28">
        <v>2</v>
      </c>
      <c r="T28">
        <v>91</v>
      </c>
      <c r="U28">
        <v>63</v>
      </c>
      <c r="V28" t="s">
        <v>35</v>
      </c>
      <c r="W28" t="s">
        <v>43</v>
      </c>
      <c r="X28">
        <v>47</v>
      </c>
      <c r="Y28">
        <v>8</v>
      </c>
      <c r="Z28">
        <v>3</v>
      </c>
      <c r="AA28">
        <v>30</v>
      </c>
      <c r="AB28">
        <v>65396</v>
      </c>
    </row>
    <row r="29" spans="1:28" x14ac:dyDescent="0.3">
      <c r="A29" t="s">
        <v>100</v>
      </c>
      <c r="B29" t="s">
        <v>55</v>
      </c>
      <c r="C29" t="s">
        <v>51</v>
      </c>
      <c r="D29" s="1">
        <v>45408</v>
      </c>
      <c r="E29" s="1">
        <v>45456</v>
      </c>
      <c r="F29" s="16">
        <f t="shared" si="0"/>
        <v>48</v>
      </c>
      <c r="G29">
        <v>43688</v>
      </c>
      <c r="H29" t="s">
        <v>52</v>
      </c>
      <c r="I29">
        <v>183</v>
      </c>
      <c r="J29">
        <v>1</v>
      </c>
      <c r="K29">
        <v>1</v>
      </c>
      <c r="L29" s="11">
        <f t="shared" si="1"/>
        <v>5.4644808743169399E-3</v>
      </c>
      <c r="M29" t="s">
        <v>101</v>
      </c>
      <c r="N29">
        <v>29</v>
      </c>
      <c r="O29">
        <v>19555</v>
      </c>
      <c r="P29">
        <v>42</v>
      </c>
      <c r="Q29">
        <v>68</v>
      </c>
      <c r="R29" s="6">
        <f t="shared" si="2"/>
        <v>26</v>
      </c>
      <c r="S29">
        <v>1</v>
      </c>
      <c r="T29">
        <v>77</v>
      </c>
      <c r="U29">
        <v>85</v>
      </c>
      <c r="V29" t="s">
        <v>35</v>
      </c>
      <c r="W29" t="s">
        <v>31</v>
      </c>
      <c r="X29">
        <v>54</v>
      </c>
      <c r="Y29">
        <v>14</v>
      </c>
      <c r="Z29">
        <v>10</v>
      </c>
      <c r="AA29">
        <v>30</v>
      </c>
      <c r="AB29">
        <v>103645</v>
      </c>
    </row>
    <row r="30" spans="1:28" x14ac:dyDescent="0.3">
      <c r="A30" t="s">
        <v>102</v>
      </c>
      <c r="B30" t="s">
        <v>72</v>
      </c>
      <c r="C30" t="s">
        <v>60</v>
      </c>
      <c r="D30" s="1">
        <v>45616</v>
      </c>
      <c r="E30" s="1">
        <v>45638</v>
      </c>
      <c r="F30" s="16">
        <f t="shared" si="0"/>
        <v>22</v>
      </c>
      <c r="G30">
        <v>27751</v>
      </c>
      <c r="H30" t="s">
        <v>28</v>
      </c>
      <c r="I30">
        <v>58</v>
      </c>
      <c r="J30">
        <v>20</v>
      </c>
      <c r="K30">
        <v>20</v>
      </c>
      <c r="L30" s="11">
        <f t="shared" si="1"/>
        <v>0.34482758620689657</v>
      </c>
      <c r="M30" t="s">
        <v>103</v>
      </c>
      <c r="N30">
        <v>48</v>
      </c>
      <c r="O30">
        <v>27842</v>
      </c>
      <c r="P30">
        <v>66</v>
      </c>
      <c r="Q30">
        <v>75</v>
      </c>
      <c r="R30" s="6">
        <f t="shared" si="2"/>
        <v>9</v>
      </c>
      <c r="S30">
        <v>1</v>
      </c>
      <c r="T30">
        <v>81</v>
      </c>
      <c r="U30">
        <v>79</v>
      </c>
      <c r="V30" t="s">
        <v>35</v>
      </c>
      <c r="W30" t="s">
        <v>43</v>
      </c>
      <c r="X30">
        <v>46</v>
      </c>
      <c r="Y30">
        <v>15</v>
      </c>
      <c r="Z30">
        <v>10</v>
      </c>
      <c r="AA30">
        <v>30</v>
      </c>
      <c r="AB30">
        <v>72631</v>
      </c>
    </row>
    <row r="31" spans="1:28" x14ac:dyDescent="0.3">
      <c r="A31" t="s">
        <v>104</v>
      </c>
      <c r="B31" t="s">
        <v>72</v>
      </c>
      <c r="C31" t="s">
        <v>48</v>
      </c>
      <c r="D31" s="1">
        <v>45735</v>
      </c>
      <c r="E31" s="1">
        <v>45785</v>
      </c>
      <c r="F31" s="16">
        <f t="shared" si="0"/>
        <v>50</v>
      </c>
      <c r="G31">
        <v>37678</v>
      </c>
      <c r="H31" t="s">
        <v>41</v>
      </c>
      <c r="I31">
        <v>100</v>
      </c>
      <c r="J31">
        <v>20</v>
      </c>
      <c r="K31">
        <v>18</v>
      </c>
      <c r="L31" s="11">
        <f t="shared" si="1"/>
        <v>0.18</v>
      </c>
      <c r="M31" t="s">
        <v>105</v>
      </c>
      <c r="N31">
        <v>65</v>
      </c>
      <c r="O31">
        <v>29884</v>
      </c>
      <c r="P31">
        <v>70</v>
      </c>
      <c r="Q31">
        <v>80</v>
      </c>
      <c r="R31" s="6">
        <f t="shared" si="2"/>
        <v>10</v>
      </c>
      <c r="S31">
        <v>4</v>
      </c>
      <c r="T31">
        <v>90</v>
      </c>
      <c r="U31">
        <v>86</v>
      </c>
      <c r="V31" t="s">
        <v>35</v>
      </c>
      <c r="W31" t="s">
        <v>43</v>
      </c>
      <c r="X31">
        <v>29</v>
      </c>
      <c r="Y31">
        <v>12</v>
      </c>
      <c r="Z31">
        <v>20</v>
      </c>
      <c r="AA31">
        <v>30</v>
      </c>
      <c r="AB31">
        <v>25428</v>
      </c>
    </row>
    <row r="32" spans="1:28" x14ac:dyDescent="0.3">
      <c r="A32" t="s">
        <v>106</v>
      </c>
      <c r="B32" t="s">
        <v>77</v>
      </c>
      <c r="C32" t="s">
        <v>45</v>
      </c>
      <c r="D32" s="1">
        <v>45582</v>
      </c>
      <c r="E32" s="1">
        <v>45606</v>
      </c>
      <c r="F32" s="16">
        <f t="shared" si="0"/>
        <v>24</v>
      </c>
      <c r="G32">
        <v>31134</v>
      </c>
      <c r="H32" t="s">
        <v>38</v>
      </c>
      <c r="I32">
        <v>111</v>
      </c>
      <c r="J32">
        <v>16</v>
      </c>
      <c r="K32">
        <v>11</v>
      </c>
      <c r="L32" s="11">
        <f t="shared" si="1"/>
        <v>9.90990990990991E-2</v>
      </c>
      <c r="M32" t="s">
        <v>107</v>
      </c>
      <c r="N32">
        <v>18</v>
      </c>
      <c r="O32">
        <v>23871</v>
      </c>
      <c r="P32">
        <v>67</v>
      </c>
      <c r="Q32">
        <v>77</v>
      </c>
      <c r="R32" s="6">
        <f t="shared" si="2"/>
        <v>10</v>
      </c>
      <c r="S32">
        <v>2</v>
      </c>
      <c r="T32">
        <v>100</v>
      </c>
      <c r="U32">
        <v>86</v>
      </c>
      <c r="V32" t="s">
        <v>35</v>
      </c>
      <c r="W32" t="s">
        <v>43</v>
      </c>
      <c r="X32">
        <v>56</v>
      </c>
      <c r="Y32">
        <v>3</v>
      </c>
      <c r="Z32">
        <v>13</v>
      </c>
      <c r="AA32">
        <v>30</v>
      </c>
      <c r="AB32">
        <v>50415</v>
      </c>
    </row>
    <row r="33" spans="1:28" x14ac:dyDescent="0.3">
      <c r="A33" t="s">
        <v>108</v>
      </c>
      <c r="B33" t="s">
        <v>72</v>
      </c>
      <c r="C33" t="s">
        <v>60</v>
      </c>
      <c r="D33" s="1">
        <v>45438</v>
      </c>
      <c r="E33" s="1">
        <v>45462</v>
      </c>
      <c r="F33" s="16">
        <f t="shared" si="0"/>
        <v>24</v>
      </c>
      <c r="G33">
        <v>42799</v>
      </c>
      <c r="H33" t="s">
        <v>38</v>
      </c>
      <c r="I33">
        <v>55</v>
      </c>
      <c r="J33">
        <v>3</v>
      </c>
      <c r="K33">
        <v>2</v>
      </c>
      <c r="L33" s="11">
        <f t="shared" si="1"/>
        <v>3.6363636363636362E-2</v>
      </c>
      <c r="M33" t="s">
        <v>109</v>
      </c>
      <c r="N33">
        <v>21</v>
      </c>
      <c r="O33">
        <v>16251</v>
      </c>
      <c r="P33">
        <v>57</v>
      </c>
      <c r="Q33">
        <v>83</v>
      </c>
      <c r="R33" s="6">
        <f t="shared" si="2"/>
        <v>26</v>
      </c>
      <c r="S33">
        <v>2</v>
      </c>
      <c r="T33">
        <v>76</v>
      </c>
      <c r="U33">
        <v>81</v>
      </c>
      <c r="V33" t="s">
        <v>35</v>
      </c>
      <c r="W33" t="s">
        <v>43</v>
      </c>
      <c r="X33">
        <v>50</v>
      </c>
      <c r="Y33">
        <v>22</v>
      </c>
      <c r="Z33">
        <v>5</v>
      </c>
      <c r="AA33">
        <v>30</v>
      </c>
      <c r="AB33">
        <v>63544</v>
      </c>
    </row>
    <row r="34" spans="1:28" x14ac:dyDescent="0.3">
      <c r="A34" t="s">
        <v>110</v>
      </c>
      <c r="B34" t="s">
        <v>77</v>
      </c>
      <c r="C34" t="s">
        <v>51</v>
      </c>
      <c r="D34" s="1">
        <v>45292</v>
      </c>
      <c r="E34" s="1">
        <v>45349</v>
      </c>
      <c r="F34" s="16">
        <f t="shared" si="0"/>
        <v>57</v>
      </c>
      <c r="G34">
        <v>7717</v>
      </c>
      <c r="H34" t="s">
        <v>28</v>
      </c>
      <c r="I34">
        <v>146</v>
      </c>
      <c r="J34">
        <v>10</v>
      </c>
      <c r="K34">
        <v>4</v>
      </c>
      <c r="L34" s="11">
        <f t="shared" si="1"/>
        <v>2.7397260273972601E-2</v>
      </c>
      <c r="M34" t="s">
        <v>111</v>
      </c>
      <c r="N34">
        <v>25</v>
      </c>
      <c r="O34">
        <v>13233</v>
      </c>
      <c r="P34">
        <v>66</v>
      </c>
      <c r="Q34">
        <v>72</v>
      </c>
      <c r="R34" s="6">
        <f t="shared" si="2"/>
        <v>6</v>
      </c>
      <c r="S34">
        <v>5</v>
      </c>
      <c r="T34">
        <v>83</v>
      </c>
      <c r="U34">
        <v>50</v>
      </c>
      <c r="V34" t="s">
        <v>35</v>
      </c>
      <c r="W34" t="s">
        <v>43</v>
      </c>
      <c r="X34">
        <v>52</v>
      </c>
      <c r="Y34">
        <v>1</v>
      </c>
      <c r="Z34">
        <v>10</v>
      </c>
      <c r="AA34">
        <v>30</v>
      </c>
      <c r="AB34">
        <v>109913</v>
      </c>
    </row>
    <row r="35" spans="1:28" x14ac:dyDescent="0.3">
      <c r="A35" t="s">
        <v>112</v>
      </c>
      <c r="B35" t="s">
        <v>37</v>
      </c>
      <c r="C35" t="s">
        <v>48</v>
      </c>
      <c r="D35" s="1">
        <v>45414</v>
      </c>
      <c r="E35" s="1">
        <v>45473</v>
      </c>
      <c r="F35" s="16">
        <f t="shared" si="0"/>
        <v>59</v>
      </c>
      <c r="G35">
        <v>49913</v>
      </c>
      <c r="H35" t="s">
        <v>33</v>
      </c>
      <c r="I35">
        <v>74</v>
      </c>
      <c r="J35">
        <v>18</v>
      </c>
      <c r="K35">
        <v>14</v>
      </c>
      <c r="L35" s="11">
        <f t="shared" si="1"/>
        <v>0.1891891891891892</v>
      </c>
      <c r="M35" t="s">
        <v>113</v>
      </c>
      <c r="N35">
        <v>71</v>
      </c>
      <c r="O35">
        <v>4184</v>
      </c>
      <c r="P35">
        <v>50</v>
      </c>
      <c r="Q35">
        <v>55</v>
      </c>
      <c r="R35" s="6">
        <f t="shared" si="2"/>
        <v>5</v>
      </c>
      <c r="S35">
        <v>4</v>
      </c>
      <c r="T35">
        <v>84</v>
      </c>
      <c r="U35">
        <v>57</v>
      </c>
      <c r="V35" t="s">
        <v>35</v>
      </c>
      <c r="W35" t="s">
        <v>31</v>
      </c>
      <c r="X35">
        <v>42</v>
      </c>
      <c r="Y35">
        <v>4</v>
      </c>
      <c r="Z35">
        <v>10</v>
      </c>
      <c r="AA35">
        <v>30</v>
      </c>
      <c r="AB35">
        <v>32901</v>
      </c>
    </row>
    <row r="36" spans="1:28" x14ac:dyDescent="0.3">
      <c r="A36" t="s">
        <v>114</v>
      </c>
      <c r="B36" t="s">
        <v>26</v>
      </c>
      <c r="C36" t="s">
        <v>86</v>
      </c>
      <c r="D36" s="1">
        <v>45748</v>
      </c>
      <c r="E36" s="1">
        <v>45760</v>
      </c>
      <c r="F36" s="16">
        <f t="shared" si="0"/>
        <v>12</v>
      </c>
      <c r="G36">
        <v>17163</v>
      </c>
      <c r="H36" t="s">
        <v>38</v>
      </c>
      <c r="I36">
        <v>109</v>
      </c>
      <c r="J36">
        <v>6</v>
      </c>
      <c r="K36">
        <v>3</v>
      </c>
      <c r="L36" s="11">
        <f t="shared" si="1"/>
        <v>2.7522935779816515E-2</v>
      </c>
      <c r="M36" t="s">
        <v>115</v>
      </c>
      <c r="N36">
        <v>55</v>
      </c>
      <c r="O36">
        <v>4876</v>
      </c>
      <c r="P36">
        <v>85</v>
      </c>
      <c r="Q36">
        <v>87</v>
      </c>
      <c r="R36" s="6">
        <f t="shared" si="2"/>
        <v>2</v>
      </c>
      <c r="S36">
        <v>2</v>
      </c>
      <c r="T36">
        <v>97</v>
      </c>
      <c r="U36">
        <v>61</v>
      </c>
      <c r="V36" t="s">
        <v>30</v>
      </c>
      <c r="W36" t="s">
        <v>43</v>
      </c>
      <c r="X36">
        <v>35</v>
      </c>
      <c r="Y36">
        <v>10</v>
      </c>
      <c r="Z36">
        <v>12</v>
      </c>
      <c r="AA36">
        <v>30</v>
      </c>
      <c r="AB36">
        <v>119614</v>
      </c>
    </row>
    <row r="37" spans="1:28" x14ac:dyDescent="0.3">
      <c r="A37" t="s">
        <v>116</v>
      </c>
      <c r="B37" t="s">
        <v>72</v>
      </c>
      <c r="C37" t="s">
        <v>86</v>
      </c>
      <c r="D37" s="1">
        <v>45657</v>
      </c>
      <c r="E37" s="1">
        <v>45679</v>
      </c>
      <c r="F37" s="16">
        <f t="shared" si="0"/>
        <v>22</v>
      </c>
      <c r="G37">
        <v>37049</v>
      </c>
      <c r="H37" t="s">
        <v>52</v>
      </c>
      <c r="I37">
        <v>112</v>
      </c>
      <c r="J37">
        <v>12</v>
      </c>
      <c r="K37">
        <v>11</v>
      </c>
      <c r="L37" s="11">
        <f t="shared" si="1"/>
        <v>9.8214285714285712E-2</v>
      </c>
      <c r="M37" t="s">
        <v>117</v>
      </c>
      <c r="N37">
        <v>47</v>
      </c>
      <c r="O37">
        <v>24020</v>
      </c>
      <c r="P37">
        <v>77</v>
      </c>
      <c r="Q37">
        <v>83</v>
      </c>
      <c r="R37" s="6">
        <f t="shared" si="2"/>
        <v>6</v>
      </c>
      <c r="S37">
        <v>5</v>
      </c>
      <c r="T37">
        <v>77</v>
      </c>
      <c r="U37">
        <v>100</v>
      </c>
      <c r="V37" t="s">
        <v>35</v>
      </c>
      <c r="W37" t="s">
        <v>31</v>
      </c>
      <c r="X37">
        <v>48</v>
      </c>
      <c r="Y37">
        <v>16</v>
      </c>
      <c r="Z37">
        <v>9</v>
      </c>
      <c r="AA37">
        <v>30</v>
      </c>
      <c r="AB37">
        <v>77879</v>
      </c>
    </row>
    <row r="38" spans="1:28" x14ac:dyDescent="0.3">
      <c r="A38" t="s">
        <v>118</v>
      </c>
      <c r="B38" t="s">
        <v>37</v>
      </c>
      <c r="C38" t="s">
        <v>60</v>
      </c>
      <c r="D38" s="1">
        <v>45515</v>
      </c>
      <c r="E38" s="1">
        <v>45524</v>
      </c>
      <c r="F38" s="16">
        <f t="shared" si="0"/>
        <v>9</v>
      </c>
      <c r="G38">
        <v>14870</v>
      </c>
      <c r="H38" t="s">
        <v>28</v>
      </c>
      <c r="I38">
        <v>73</v>
      </c>
      <c r="J38">
        <v>2</v>
      </c>
      <c r="K38">
        <v>2</v>
      </c>
      <c r="L38" s="11">
        <f t="shared" si="1"/>
        <v>2.7397260273972601E-2</v>
      </c>
      <c r="M38" t="s">
        <v>119</v>
      </c>
      <c r="N38">
        <v>3</v>
      </c>
      <c r="O38">
        <v>17038</v>
      </c>
      <c r="P38">
        <v>76</v>
      </c>
      <c r="Q38">
        <v>96</v>
      </c>
      <c r="R38" s="6">
        <f t="shared" si="2"/>
        <v>20</v>
      </c>
      <c r="S38">
        <v>3</v>
      </c>
      <c r="T38">
        <v>94</v>
      </c>
      <c r="U38">
        <v>97</v>
      </c>
      <c r="V38" t="s">
        <v>30</v>
      </c>
      <c r="W38" t="s">
        <v>43</v>
      </c>
      <c r="X38">
        <v>30</v>
      </c>
      <c r="Y38">
        <v>19</v>
      </c>
      <c r="Z38">
        <v>13</v>
      </c>
      <c r="AA38">
        <v>30</v>
      </c>
      <c r="AB38">
        <v>50248</v>
      </c>
    </row>
    <row r="39" spans="1:28" x14ac:dyDescent="0.3">
      <c r="A39" t="s">
        <v>120</v>
      </c>
      <c r="B39" t="s">
        <v>72</v>
      </c>
      <c r="C39" t="s">
        <v>51</v>
      </c>
      <c r="D39" s="1">
        <v>45557</v>
      </c>
      <c r="E39" s="1">
        <v>45583</v>
      </c>
      <c r="F39" s="16">
        <f t="shared" si="0"/>
        <v>26</v>
      </c>
      <c r="G39">
        <v>25654</v>
      </c>
      <c r="H39" t="s">
        <v>28</v>
      </c>
      <c r="I39">
        <v>18</v>
      </c>
      <c r="J39">
        <v>7</v>
      </c>
      <c r="K39">
        <v>1</v>
      </c>
      <c r="L39" s="11">
        <f t="shared" si="1"/>
        <v>5.5555555555555552E-2</v>
      </c>
      <c r="M39" t="s">
        <v>121</v>
      </c>
      <c r="N39">
        <v>32</v>
      </c>
      <c r="O39">
        <v>25264</v>
      </c>
      <c r="P39">
        <v>56</v>
      </c>
      <c r="Q39">
        <v>73</v>
      </c>
      <c r="R39" s="6">
        <f t="shared" si="2"/>
        <v>17</v>
      </c>
      <c r="S39">
        <v>4</v>
      </c>
      <c r="T39">
        <v>94</v>
      </c>
      <c r="U39">
        <v>65</v>
      </c>
      <c r="V39" t="s">
        <v>35</v>
      </c>
      <c r="W39" t="s">
        <v>43</v>
      </c>
      <c r="X39">
        <v>23</v>
      </c>
      <c r="Y39">
        <v>6</v>
      </c>
      <c r="Z39">
        <v>6</v>
      </c>
      <c r="AA39">
        <v>30</v>
      </c>
      <c r="AB39">
        <v>73328</v>
      </c>
    </row>
    <row r="40" spans="1:28" x14ac:dyDescent="0.3">
      <c r="A40" t="s">
        <v>122</v>
      </c>
      <c r="B40" t="s">
        <v>67</v>
      </c>
      <c r="C40" t="s">
        <v>48</v>
      </c>
      <c r="D40" s="1">
        <v>45625</v>
      </c>
      <c r="E40" s="1">
        <v>45661</v>
      </c>
      <c r="F40" s="16">
        <f t="shared" si="0"/>
        <v>36</v>
      </c>
      <c r="G40">
        <v>45584</v>
      </c>
      <c r="H40" t="s">
        <v>52</v>
      </c>
      <c r="I40">
        <v>189</v>
      </c>
      <c r="J40">
        <v>7</v>
      </c>
      <c r="K40">
        <v>1</v>
      </c>
      <c r="L40" s="11">
        <f t="shared" si="1"/>
        <v>5.2910052910052907E-3</v>
      </c>
      <c r="M40" t="s">
        <v>123</v>
      </c>
      <c r="N40">
        <v>1</v>
      </c>
      <c r="O40">
        <v>8358</v>
      </c>
      <c r="P40">
        <v>55</v>
      </c>
      <c r="Q40">
        <v>83</v>
      </c>
      <c r="R40" s="6">
        <f t="shared" si="2"/>
        <v>28</v>
      </c>
      <c r="S40">
        <v>3</v>
      </c>
      <c r="T40">
        <v>94</v>
      </c>
      <c r="U40">
        <v>53</v>
      </c>
      <c r="V40" t="s">
        <v>35</v>
      </c>
      <c r="W40" t="s">
        <v>43</v>
      </c>
      <c r="X40">
        <v>28</v>
      </c>
      <c r="Y40">
        <v>22</v>
      </c>
      <c r="Z40">
        <v>5</v>
      </c>
      <c r="AA40">
        <v>30</v>
      </c>
      <c r="AB40">
        <v>72529</v>
      </c>
    </row>
    <row r="41" spans="1:28" x14ac:dyDescent="0.3">
      <c r="A41" t="s">
        <v>124</v>
      </c>
      <c r="B41" t="s">
        <v>72</v>
      </c>
      <c r="C41" t="s">
        <v>48</v>
      </c>
      <c r="D41" s="1">
        <v>45527</v>
      </c>
      <c r="E41" s="1">
        <v>45560</v>
      </c>
      <c r="F41" s="16">
        <f t="shared" si="0"/>
        <v>33</v>
      </c>
      <c r="G41">
        <v>45685</v>
      </c>
      <c r="H41" t="s">
        <v>38</v>
      </c>
      <c r="I41">
        <v>146</v>
      </c>
      <c r="J41">
        <v>9</v>
      </c>
      <c r="K41">
        <v>6</v>
      </c>
      <c r="L41" s="11">
        <f t="shared" si="1"/>
        <v>4.1095890410958902E-2</v>
      </c>
      <c r="M41" t="s">
        <v>125</v>
      </c>
      <c r="N41">
        <v>74</v>
      </c>
      <c r="O41">
        <v>20865</v>
      </c>
      <c r="P41">
        <v>78</v>
      </c>
      <c r="Q41">
        <v>100</v>
      </c>
      <c r="R41" s="6">
        <f t="shared" si="2"/>
        <v>22</v>
      </c>
      <c r="S41">
        <v>5</v>
      </c>
      <c r="T41">
        <v>95</v>
      </c>
      <c r="U41">
        <v>51</v>
      </c>
      <c r="V41" t="s">
        <v>35</v>
      </c>
      <c r="W41" t="s">
        <v>31</v>
      </c>
      <c r="X41">
        <v>41</v>
      </c>
      <c r="Y41">
        <v>10</v>
      </c>
      <c r="Z41">
        <v>9</v>
      </c>
      <c r="AA41">
        <v>30</v>
      </c>
      <c r="AB41">
        <v>83872</v>
      </c>
    </row>
    <row r="42" spans="1:28" x14ac:dyDescent="0.3">
      <c r="A42" t="s">
        <v>126</v>
      </c>
      <c r="B42" t="s">
        <v>37</v>
      </c>
      <c r="C42" t="s">
        <v>45</v>
      </c>
      <c r="D42" s="1">
        <v>45711</v>
      </c>
      <c r="E42" s="1">
        <v>45760</v>
      </c>
      <c r="F42" s="16">
        <f t="shared" si="0"/>
        <v>49</v>
      </c>
      <c r="G42">
        <v>35330</v>
      </c>
      <c r="H42" t="s">
        <v>33</v>
      </c>
      <c r="I42">
        <v>194</v>
      </c>
      <c r="J42">
        <v>15</v>
      </c>
      <c r="K42">
        <v>7</v>
      </c>
      <c r="L42" s="11">
        <f t="shared" si="1"/>
        <v>3.608247422680412E-2</v>
      </c>
      <c r="M42" t="s">
        <v>127</v>
      </c>
      <c r="N42">
        <v>70</v>
      </c>
      <c r="O42">
        <v>11561</v>
      </c>
      <c r="P42">
        <v>48</v>
      </c>
      <c r="Q42">
        <v>76</v>
      </c>
      <c r="R42" s="6">
        <f t="shared" si="2"/>
        <v>28</v>
      </c>
      <c r="S42">
        <v>5</v>
      </c>
      <c r="T42">
        <v>100</v>
      </c>
      <c r="U42">
        <v>57</v>
      </c>
      <c r="V42" t="s">
        <v>30</v>
      </c>
      <c r="W42" t="s">
        <v>43</v>
      </c>
      <c r="X42">
        <v>52</v>
      </c>
      <c r="Y42">
        <v>5</v>
      </c>
      <c r="Z42">
        <v>1</v>
      </c>
      <c r="AA42">
        <v>30</v>
      </c>
      <c r="AB42">
        <v>91882</v>
      </c>
    </row>
    <row r="43" spans="1:28" x14ac:dyDescent="0.3">
      <c r="A43" t="s">
        <v>128</v>
      </c>
      <c r="B43" t="s">
        <v>26</v>
      </c>
      <c r="C43" t="s">
        <v>45</v>
      </c>
      <c r="D43" s="1">
        <v>45665</v>
      </c>
      <c r="E43" s="1">
        <v>45683</v>
      </c>
      <c r="F43" s="16">
        <f t="shared" si="0"/>
        <v>18</v>
      </c>
      <c r="G43">
        <v>45224</v>
      </c>
      <c r="H43" t="s">
        <v>33</v>
      </c>
      <c r="I43">
        <v>191</v>
      </c>
      <c r="J43">
        <v>13</v>
      </c>
      <c r="K43">
        <v>1</v>
      </c>
      <c r="L43" s="11">
        <f t="shared" si="1"/>
        <v>5.235602094240838E-3</v>
      </c>
      <c r="M43" t="s">
        <v>129</v>
      </c>
      <c r="N43">
        <v>21</v>
      </c>
      <c r="O43">
        <v>22354</v>
      </c>
      <c r="P43">
        <v>71</v>
      </c>
      <c r="Q43">
        <v>76</v>
      </c>
      <c r="R43" s="6">
        <f t="shared" si="2"/>
        <v>5</v>
      </c>
      <c r="S43">
        <v>5</v>
      </c>
      <c r="T43">
        <v>75</v>
      </c>
      <c r="U43">
        <v>52</v>
      </c>
      <c r="V43" t="s">
        <v>35</v>
      </c>
      <c r="W43" t="s">
        <v>31</v>
      </c>
      <c r="X43">
        <v>23</v>
      </c>
      <c r="Y43">
        <v>8</v>
      </c>
      <c r="Z43">
        <v>14</v>
      </c>
      <c r="AA43">
        <v>30</v>
      </c>
      <c r="AB43">
        <v>43044</v>
      </c>
    </row>
    <row r="44" spans="1:28" x14ac:dyDescent="0.3">
      <c r="A44" t="s">
        <v>130</v>
      </c>
      <c r="B44" t="s">
        <v>72</v>
      </c>
      <c r="C44" t="s">
        <v>51</v>
      </c>
      <c r="D44" s="1">
        <v>45560</v>
      </c>
      <c r="E44" s="1">
        <v>45620</v>
      </c>
      <c r="F44" s="16">
        <f t="shared" si="0"/>
        <v>60</v>
      </c>
      <c r="G44">
        <v>34596</v>
      </c>
      <c r="H44" t="s">
        <v>28</v>
      </c>
      <c r="I44">
        <v>195</v>
      </c>
      <c r="J44">
        <v>11</v>
      </c>
      <c r="K44">
        <v>10</v>
      </c>
      <c r="L44" s="11">
        <f t="shared" si="1"/>
        <v>5.128205128205128E-2</v>
      </c>
      <c r="M44" t="s">
        <v>131</v>
      </c>
      <c r="N44">
        <v>57</v>
      </c>
      <c r="O44">
        <v>14717</v>
      </c>
      <c r="P44">
        <v>74</v>
      </c>
      <c r="Q44">
        <v>77</v>
      </c>
      <c r="R44" s="6">
        <f t="shared" si="2"/>
        <v>3</v>
      </c>
      <c r="S44">
        <v>2</v>
      </c>
      <c r="T44">
        <v>86</v>
      </c>
      <c r="U44">
        <v>57</v>
      </c>
      <c r="V44" t="s">
        <v>35</v>
      </c>
      <c r="W44" t="s">
        <v>43</v>
      </c>
      <c r="X44">
        <v>29</v>
      </c>
      <c r="Y44">
        <v>16</v>
      </c>
      <c r="Z44">
        <v>6</v>
      </c>
      <c r="AA44">
        <v>30</v>
      </c>
      <c r="AB44">
        <v>74844</v>
      </c>
    </row>
    <row r="45" spans="1:28" x14ac:dyDescent="0.3">
      <c r="A45" t="s">
        <v>132</v>
      </c>
      <c r="B45" t="s">
        <v>77</v>
      </c>
      <c r="C45" t="s">
        <v>86</v>
      </c>
      <c r="D45" s="1">
        <v>45603</v>
      </c>
      <c r="E45" s="1">
        <v>45632</v>
      </c>
      <c r="F45" s="16">
        <f t="shared" si="0"/>
        <v>29</v>
      </c>
      <c r="G45">
        <v>44998</v>
      </c>
      <c r="H45" t="s">
        <v>38</v>
      </c>
      <c r="I45">
        <v>17</v>
      </c>
      <c r="J45">
        <v>9</v>
      </c>
      <c r="K45">
        <v>7</v>
      </c>
      <c r="L45" s="11">
        <f t="shared" si="1"/>
        <v>0.41176470588235292</v>
      </c>
      <c r="M45" t="s">
        <v>133</v>
      </c>
      <c r="N45">
        <v>58</v>
      </c>
      <c r="O45">
        <v>19842</v>
      </c>
      <c r="P45">
        <v>47</v>
      </c>
      <c r="Q45">
        <v>63</v>
      </c>
      <c r="R45" s="6">
        <f t="shared" si="2"/>
        <v>16</v>
      </c>
      <c r="S45">
        <v>2</v>
      </c>
      <c r="T45">
        <v>91</v>
      </c>
      <c r="U45">
        <v>77</v>
      </c>
      <c r="V45" t="s">
        <v>35</v>
      </c>
      <c r="W45" t="s">
        <v>43</v>
      </c>
      <c r="X45">
        <v>52</v>
      </c>
      <c r="Y45">
        <v>24</v>
      </c>
      <c r="Z45">
        <v>0</v>
      </c>
      <c r="AA45">
        <v>30</v>
      </c>
      <c r="AB45">
        <v>101952</v>
      </c>
    </row>
    <row r="46" spans="1:28" x14ac:dyDescent="0.3">
      <c r="A46" t="s">
        <v>134</v>
      </c>
      <c r="B46" t="s">
        <v>55</v>
      </c>
      <c r="C46" t="s">
        <v>27</v>
      </c>
      <c r="D46" s="1">
        <v>45729</v>
      </c>
      <c r="E46" s="1">
        <v>45758</v>
      </c>
      <c r="F46" s="16">
        <f t="shared" si="0"/>
        <v>29</v>
      </c>
      <c r="G46">
        <v>12177</v>
      </c>
      <c r="H46" t="s">
        <v>41</v>
      </c>
      <c r="I46">
        <v>102</v>
      </c>
      <c r="J46">
        <v>1</v>
      </c>
      <c r="K46">
        <v>1</v>
      </c>
      <c r="L46" s="11">
        <f t="shared" si="1"/>
        <v>9.8039215686274508E-3</v>
      </c>
      <c r="M46" t="s">
        <v>135</v>
      </c>
      <c r="N46">
        <v>35</v>
      </c>
      <c r="O46">
        <v>21254</v>
      </c>
      <c r="P46">
        <v>45</v>
      </c>
      <c r="Q46">
        <v>55</v>
      </c>
      <c r="R46" s="6">
        <f t="shared" si="2"/>
        <v>10</v>
      </c>
      <c r="S46">
        <v>2</v>
      </c>
      <c r="T46">
        <v>82</v>
      </c>
      <c r="U46">
        <v>59</v>
      </c>
      <c r="V46" t="s">
        <v>35</v>
      </c>
      <c r="W46" t="s">
        <v>31</v>
      </c>
      <c r="X46">
        <v>38</v>
      </c>
      <c r="Y46">
        <v>14</v>
      </c>
      <c r="Z46">
        <v>16</v>
      </c>
      <c r="AA46">
        <v>30</v>
      </c>
      <c r="AB46">
        <v>43128</v>
      </c>
    </row>
    <row r="47" spans="1:28" x14ac:dyDescent="0.3">
      <c r="A47" t="s">
        <v>136</v>
      </c>
      <c r="B47" t="s">
        <v>55</v>
      </c>
      <c r="C47" t="s">
        <v>27</v>
      </c>
      <c r="D47" s="1">
        <v>45787</v>
      </c>
      <c r="E47" s="1">
        <v>45799</v>
      </c>
      <c r="F47" s="16">
        <f t="shared" si="0"/>
        <v>12</v>
      </c>
      <c r="G47">
        <v>35000</v>
      </c>
      <c r="H47" t="s">
        <v>38</v>
      </c>
      <c r="I47">
        <v>130</v>
      </c>
      <c r="J47">
        <v>4</v>
      </c>
      <c r="K47">
        <v>3</v>
      </c>
      <c r="L47" s="11">
        <f t="shared" si="1"/>
        <v>2.3076923076923078E-2</v>
      </c>
      <c r="M47" t="s">
        <v>137</v>
      </c>
      <c r="N47">
        <v>26</v>
      </c>
      <c r="O47">
        <v>13933</v>
      </c>
      <c r="P47">
        <v>74</v>
      </c>
      <c r="Q47">
        <v>92</v>
      </c>
      <c r="R47" s="6">
        <f t="shared" si="2"/>
        <v>18</v>
      </c>
      <c r="S47">
        <v>1</v>
      </c>
      <c r="T47">
        <v>96</v>
      </c>
      <c r="U47">
        <v>90</v>
      </c>
      <c r="V47" t="s">
        <v>35</v>
      </c>
      <c r="W47" t="s">
        <v>43</v>
      </c>
      <c r="X47">
        <v>41</v>
      </c>
      <c r="Y47">
        <v>14</v>
      </c>
      <c r="Z47">
        <v>6</v>
      </c>
      <c r="AA47">
        <v>30</v>
      </c>
      <c r="AB47">
        <v>61804</v>
      </c>
    </row>
    <row r="48" spans="1:28" x14ac:dyDescent="0.3">
      <c r="A48" t="s">
        <v>138</v>
      </c>
      <c r="B48" t="s">
        <v>37</v>
      </c>
      <c r="C48" t="s">
        <v>27</v>
      </c>
      <c r="D48" s="1">
        <v>45561</v>
      </c>
      <c r="E48" s="1">
        <v>45615</v>
      </c>
      <c r="F48" s="16">
        <f t="shared" si="0"/>
        <v>54</v>
      </c>
      <c r="G48">
        <v>28421</v>
      </c>
      <c r="H48" t="s">
        <v>52</v>
      </c>
      <c r="I48">
        <v>198</v>
      </c>
      <c r="J48">
        <v>2</v>
      </c>
      <c r="K48">
        <v>2</v>
      </c>
      <c r="L48" s="11">
        <f t="shared" si="1"/>
        <v>1.0101010101010102E-2</v>
      </c>
      <c r="M48" t="s">
        <v>139</v>
      </c>
      <c r="N48">
        <v>61</v>
      </c>
      <c r="O48">
        <v>15639</v>
      </c>
      <c r="P48">
        <v>63</v>
      </c>
      <c r="Q48">
        <v>72</v>
      </c>
      <c r="R48" s="6">
        <f t="shared" si="2"/>
        <v>9</v>
      </c>
      <c r="S48">
        <v>4</v>
      </c>
      <c r="T48">
        <v>77</v>
      </c>
      <c r="U48">
        <v>61</v>
      </c>
      <c r="V48" t="s">
        <v>35</v>
      </c>
      <c r="W48" t="s">
        <v>43</v>
      </c>
      <c r="X48">
        <v>22</v>
      </c>
      <c r="Y48">
        <v>18</v>
      </c>
      <c r="Z48">
        <v>8</v>
      </c>
      <c r="AA48">
        <v>30</v>
      </c>
      <c r="AB48">
        <v>46354</v>
      </c>
    </row>
    <row r="49" spans="1:28" x14ac:dyDescent="0.3">
      <c r="A49" t="s">
        <v>140</v>
      </c>
      <c r="B49" t="s">
        <v>67</v>
      </c>
      <c r="C49" t="s">
        <v>27</v>
      </c>
      <c r="D49" s="1">
        <v>45470</v>
      </c>
      <c r="E49" s="1">
        <v>45526</v>
      </c>
      <c r="F49" s="16">
        <f t="shared" si="0"/>
        <v>56</v>
      </c>
      <c r="G49">
        <v>44815</v>
      </c>
      <c r="H49" t="s">
        <v>52</v>
      </c>
      <c r="I49">
        <v>39</v>
      </c>
      <c r="J49">
        <v>1</v>
      </c>
      <c r="K49">
        <v>1</v>
      </c>
      <c r="L49" s="11">
        <f t="shared" si="1"/>
        <v>2.564102564102564E-2</v>
      </c>
      <c r="M49" t="s">
        <v>141</v>
      </c>
      <c r="N49">
        <v>61</v>
      </c>
      <c r="O49">
        <v>2341</v>
      </c>
      <c r="P49">
        <v>54</v>
      </c>
      <c r="Q49">
        <v>63</v>
      </c>
      <c r="R49" s="6">
        <f t="shared" si="2"/>
        <v>9</v>
      </c>
      <c r="S49">
        <v>1</v>
      </c>
      <c r="T49">
        <v>76</v>
      </c>
      <c r="U49">
        <v>57</v>
      </c>
      <c r="V49" t="s">
        <v>30</v>
      </c>
      <c r="W49" t="s">
        <v>31</v>
      </c>
      <c r="X49">
        <v>53</v>
      </c>
      <c r="Y49">
        <v>16</v>
      </c>
      <c r="Z49">
        <v>12</v>
      </c>
      <c r="AA49">
        <v>30</v>
      </c>
      <c r="AB49">
        <v>94597</v>
      </c>
    </row>
    <row r="50" spans="1:28" x14ac:dyDescent="0.3">
      <c r="A50" t="s">
        <v>142</v>
      </c>
      <c r="B50" t="s">
        <v>26</v>
      </c>
      <c r="C50" t="s">
        <v>51</v>
      </c>
      <c r="D50" s="1">
        <v>45438</v>
      </c>
      <c r="E50" s="1">
        <v>45461</v>
      </c>
      <c r="F50" s="16">
        <f t="shared" si="0"/>
        <v>23</v>
      </c>
      <c r="G50">
        <v>41746</v>
      </c>
      <c r="H50" t="s">
        <v>38</v>
      </c>
      <c r="I50">
        <v>103</v>
      </c>
      <c r="J50">
        <v>16</v>
      </c>
      <c r="K50">
        <v>13</v>
      </c>
      <c r="L50" s="11">
        <f t="shared" si="1"/>
        <v>0.12621359223300971</v>
      </c>
      <c r="M50" t="s">
        <v>143</v>
      </c>
      <c r="N50">
        <v>19</v>
      </c>
      <c r="O50">
        <v>14514</v>
      </c>
      <c r="P50">
        <v>72</v>
      </c>
      <c r="Q50">
        <v>72</v>
      </c>
      <c r="R50" s="6">
        <f t="shared" si="2"/>
        <v>0</v>
      </c>
      <c r="S50">
        <v>4</v>
      </c>
      <c r="T50">
        <v>100</v>
      </c>
      <c r="U50">
        <v>71</v>
      </c>
      <c r="V50" t="s">
        <v>35</v>
      </c>
      <c r="W50" t="s">
        <v>31</v>
      </c>
      <c r="X50">
        <v>35</v>
      </c>
      <c r="Y50">
        <v>14</v>
      </c>
      <c r="Z50">
        <v>13</v>
      </c>
      <c r="AA50">
        <v>30</v>
      </c>
      <c r="AB50">
        <v>78399</v>
      </c>
    </row>
    <row r="51" spans="1:28" x14ac:dyDescent="0.3">
      <c r="A51" t="s">
        <v>144</v>
      </c>
      <c r="B51" t="s">
        <v>67</v>
      </c>
      <c r="C51" t="s">
        <v>51</v>
      </c>
      <c r="D51" s="1">
        <v>45500</v>
      </c>
      <c r="E51" s="1">
        <v>45547</v>
      </c>
      <c r="F51" s="16">
        <f t="shared" si="0"/>
        <v>47</v>
      </c>
      <c r="G51">
        <v>46521</v>
      </c>
      <c r="H51" t="s">
        <v>28</v>
      </c>
      <c r="I51">
        <v>22</v>
      </c>
      <c r="J51">
        <v>17</v>
      </c>
      <c r="K51">
        <v>5</v>
      </c>
      <c r="L51" s="11">
        <f t="shared" si="1"/>
        <v>0.22727272727272727</v>
      </c>
      <c r="M51" t="s">
        <v>145</v>
      </c>
      <c r="N51">
        <v>76</v>
      </c>
      <c r="O51">
        <v>29261</v>
      </c>
      <c r="P51">
        <v>51</v>
      </c>
      <c r="Q51">
        <v>68</v>
      </c>
      <c r="R51" s="6">
        <f t="shared" si="2"/>
        <v>17</v>
      </c>
      <c r="S51">
        <v>5</v>
      </c>
      <c r="T51">
        <v>96</v>
      </c>
      <c r="U51">
        <v>63</v>
      </c>
      <c r="V51" t="s">
        <v>30</v>
      </c>
      <c r="W51" t="s">
        <v>43</v>
      </c>
      <c r="X51">
        <v>57</v>
      </c>
      <c r="Y51">
        <v>13</v>
      </c>
      <c r="Z51">
        <v>7</v>
      </c>
      <c r="AA51">
        <v>30</v>
      </c>
      <c r="AB51">
        <v>55570</v>
      </c>
    </row>
    <row r="52" spans="1:28" x14ac:dyDescent="0.3">
      <c r="A52" t="s">
        <v>146</v>
      </c>
      <c r="B52" t="s">
        <v>72</v>
      </c>
      <c r="C52" t="s">
        <v>51</v>
      </c>
      <c r="D52" s="1">
        <v>45311</v>
      </c>
      <c r="E52" s="1">
        <v>45334</v>
      </c>
      <c r="F52" s="16">
        <f t="shared" si="0"/>
        <v>23</v>
      </c>
      <c r="G52">
        <v>23300</v>
      </c>
      <c r="H52" t="s">
        <v>52</v>
      </c>
      <c r="I52">
        <v>40</v>
      </c>
      <c r="J52">
        <v>9</v>
      </c>
      <c r="K52">
        <v>8</v>
      </c>
      <c r="L52" s="11">
        <f t="shared" si="1"/>
        <v>0.2</v>
      </c>
      <c r="M52" t="s">
        <v>147</v>
      </c>
      <c r="N52">
        <v>40</v>
      </c>
      <c r="O52">
        <v>25551</v>
      </c>
      <c r="P52">
        <v>41</v>
      </c>
      <c r="Q52">
        <v>58</v>
      </c>
      <c r="R52" s="6">
        <f t="shared" si="2"/>
        <v>17</v>
      </c>
      <c r="S52">
        <v>1</v>
      </c>
      <c r="T52">
        <v>99</v>
      </c>
      <c r="U52">
        <v>80</v>
      </c>
      <c r="V52" t="s">
        <v>35</v>
      </c>
      <c r="W52" t="s">
        <v>31</v>
      </c>
      <c r="X52">
        <v>29</v>
      </c>
      <c r="Y52">
        <v>10</v>
      </c>
      <c r="Z52">
        <v>11</v>
      </c>
      <c r="AA52">
        <v>30</v>
      </c>
      <c r="AB52">
        <v>117547</v>
      </c>
    </row>
    <row r="53" spans="1:28" x14ac:dyDescent="0.3">
      <c r="A53" t="s">
        <v>148</v>
      </c>
      <c r="B53" t="s">
        <v>67</v>
      </c>
      <c r="C53" t="s">
        <v>60</v>
      </c>
      <c r="D53" s="1">
        <v>45616</v>
      </c>
      <c r="E53" s="1">
        <v>45630</v>
      </c>
      <c r="F53" s="16">
        <f t="shared" si="0"/>
        <v>14</v>
      </c>
      <c r="G53">
        <v>30428</v>
      </c>
      <c r="H53" t="s">
        <v>52</v>
      </c>
      <c r="I53">
        <v>81</v>
      </c>
      <c r="J53">
        <v>5</v>
      </c>
      <c r="K53">
        <v>4</v>
      </c>
      <c r="L53" s="11">
        <f t="shared" si="1"/>
        <v>4.9382716049382713E-2</v>
      </c>
      <c r="M53" t="s">
        <v>149</v>
      </c>
      <c r="N53">
        <v>73</v>
      </c>
      <c r="O53">
        <v>28000</v>
      </c>
      <c r="P53">
        <v>43</v>
      </c>
      <c r="Q53">
        <v>48</v>
      </c>
      <c r="R53" s="6">
        <f t="shared" si="2"/>
        <v>5</v>
      </c>
      <c r="S53">
        <v>2</v>
      </c>
      <c r="T53">
        <v>77</v>
      </c>
      <c r="U53">
        <v>76</v>
      </c>
      <c r="V53" t="s">
        <v>35</v>
      </c>
      <c r="W53" t="s">
        <v>43</v>
      </c>
      <c r="X53">
        <v>60</v>
      </c>
      <c r="Y53">
        <v>13</v>
      </c>
      <c r="Z53">
        <v>16</v>
      </c>
      <c r="AA53">
        <v>30</v>
      </c>
      <c r="AB53">
        <v>30211</v>
      </c>
    </row>
    <row r="54" spans="1:28" x14ac:dyDescent="0.3">
      <c r="A54" t="s">
        <v>150</v>
      </c>
      <c r="B54" t="s">
        <v>37</v>
      </c>
      <c r="C54" t="s">
        <v>27</v>
      </c>
      <c r="D54" s="1">
        <v>45434</v>
      </c>
      <c r="E54" s="1">
        <v>45456</v>
      </c>
      <c r="F54" s="16">
        <f t="shared" si="0"/>
        <v>22</v>
      </c>
      <c r="G54">
        <v>26047</v>
      </c>
      <c r="H54" t="s">
        <v>41</v>
      </c>
      <c r="I54">
        <v>98</v>
      </c>
      <c r="J54">
        <v>12</v>
      </c>
      <c r="K54">
        <v>2</v>
      </c>
      <c r="L54" s="11">
        <f t="shared" si="1"/>
        <v>2.0408163265306121E-2</v>
      </c>
      <c r="M54" t="s">
        <v>151</v>
      </c>
      <c r="N54">
        <v>32</v>
      </c>
      <c r="O54">
        <v>19830</v>
      </c>
      <c r="P54">
        <v>64</v>
      </c>
      <c r="Q54">
        <v>65</v>
      </c>
      <c r="R54" s="6">
        <f t="shared" si="2"/>
        <v>1</v>
      </c>
      <c r="S54">
        <v>2</v>
      </c>
      <c r="T54">
        <v>79</v>
      </c>
      <c r="U54">
        <v>52</v>
      </c>
      <c r="V54" t="s">
        <v>35</v>
      </c>
      <c r="W54" t="s">
        <v>31</v>
      </c>
      <c r="X54">
        <v>45</v>
      </c>
      <c r="Y54">
        <v>1</v>
      </c>
      <c r="Z54">
        <v>16</v>
      </c>
      <c r="AA54">
        <v>30</v>
      </c>
      <c r="AB54">
        <v>66638</v>
      </c>
    </row>
    <row r="55" spans="1:28" x14ac:dyDescent="0.3">
      <c r="A55" t="s">
        <v>152</v>
      </c>
      <c r="B55" t="s">
        <v>26</v>
      </c>
      <c r="C55" t="s">
        <v>27</v>
      </c>
      <c r="D55" s="1">
        <v>45776</v>
      </c>
      <c r="E55" s="1">
        <v>45802</v>
      </c>
      <c r="F55" s="16">
        <f t="shared" si="0"/>
        <v>26</v>
      </c>
      <c r="G55">
        <v>10556</v>
      </c>
      <c r="H55" t="s">
        <v>33</v>
      </c>
      <c r="I55">
        <v>19</v>
      </c>
      <c r="J55">
        <v>15</v>
      </c>
      <c r="K55">
        <v>8</v>
      </c>
      <c r="L55" s="11">
        <f t="shared" si="1"/>
        <v>0.42105263157894735</v>
      </c>
      <c r="M55" t="s">
        <v>153</v>
      </c>
      <c r="N55">
        <v>29</v>
      </c>
      <c r="O55">
        <v>18099</v>
      </c>
      <c r="P55">
        <v>85</v>
      </c>
      <c r="Q55">
        <v>100</v>
      </c>
      <c r="R55" s="6">
        <f t="shared" si="2"/>
        <v>15</v>
      </c>
      <c r="S55">
        <v>3</v>
      </c>
      <c r="T55">
        <v>79</v>
      </c>
      <c r="U55">
        <v>74</v>
      </c>
      <c r="V55" t="s">
        <v>35</v>
      </c>
      <c r="W55" t="s">
        <v>31</v>
      </c>
      <c r="X55">
        <v>38</v>
      </c>
      <c r="Y55">
        <v>12</v>
      </c>
      <c r="Z55">
        <v>9</v>
      </c>
      <c r="AA55">
        <v>30</v>
      </c>
      <c r="AB55">
        <v>64948</v>
      </c>
    </row>
    <row r="56" spans="1:28" x14ac:dyDescent="0.3">
      <c r="A56" t="s">
        <v>154</v>
      </c>
      <c r="B56" t="s">
        <v>72</v>
      </c>
      <c r="C56" t="s">
        <v>86</v>
      </c>
      <c r="D56" s="1">
        <v>45613</v>
      </c>
      <c r="E56" s="1">
        <v>45622</v>
      </c>
      <c r="F56" s="16">
        <f t="shared" si="0"/>
        <v>9</v>
      </c>
      <c r="G56">
        <v>41472</v>
      </c>
      <c r="H56" t="s">
        <v>38</v>
      </c>
      <c r="I56">
        <v>13</v>
      </c>
      <c r="J56">
        <v>15</v>
      </c>
      <c r="K56">
        <v>3</v>
      </c>
      <c r="L56" s="11">
        <f t="shared" si="1"/>
        <v>0.23076923076923078</v>
      </c>
      <c r="M56" t="s">
        <v>155</v>
      </c>
      <c r="N56">
        <v>65</v>
      </c>
      <c r="O56">
        <v>11178</v>
      </c>
      <c r="P56">
        <v>60</v>
      </c>
      <c r="Q56">
        <v>61</v>
      </c>
      <c r="R56" s="6">
        <f t="shared" si="2"/>
        <v>1</v>
      </c>
      <c r="S56">
        <v>5</v>
      </c>
      <c r="T56">
        <v>96</v>
      </c>
      <c r="U56">
        <v>100</v>
      </c>
      <c r="V56" t="s">
        <v>35</v>
      </c>
      <c r="W56" t="s">
        <v>31</v>
      </c>
      <c r="X56">
        <v>55</v>
      </c>
      <c r="Y56">
        <v>11</v>
      </c>
      <c r="Z56">
        <v>10</v>
      </c>
      <c r="AA56">
        <v>30</v>
      </c>
      <c r="AB56">
        <v>79414</v>
      </c>
    </row>
    <row r="57" spans="1:28" x14ac:dyDescent="0.3">
      <c r="A57" t="s">
        <v>156</v>
      </c>
      <c r="B57" t="s">
        <v>67</v>
      </c>
      <c r="C57" t="s">
        <v>51</v>
      </c>
      <c r="D57" s="1">
        <v>45528</v>
      </c>
      <c r="E57" s="1">
        <v>45551</v>
      </c>
      <c r="F57" s="16">
        <f t="shared" si="0"/>
        <v>23</v>
      </c>
      <c r="G57">
        <v>16854</v>
      </c>
      <c r="H57" t="s">
        <v>41</v>
      </c>
      <c r="I57">
        <v>198</v>
      </c>
      <c r="J57">
        <v>1</v>
      </c>
      <c r="K57">
        <v>1</v>
      </c>
      <c r="L57" s="11">
        <f t="shared" si="1"/>
        <v>5.0505050505050509E-3</v>
      </c>
      <c r="M57" t="s">
        <v>157</v>
      </c>
      <c r="N57">
        <v>44</v>
      </c>
      <c r="O57">
        <v>2524</v>
      </c>
      <c r="P57">
        <v>72</v>
      </c>
      <c r="Q57">
        <v>80</v>
      </c>
      <c r="R57" s="6">
        <f t="shared" si="2"/>
        <v>8</v>
      </c>
      <c r="S57">
        <v>5</v>
      </c>
      <c r="T57">
        <v>100</v>
      </c>
      <c r="U57">
        <v>73</v>
      </c>
      <c r="V57" t="s">
        <v>35</v>
      </c>
      <c r="W57" t="s">
        <v>43</v>
      </c>
      <c r="X57">
        <v>46</v>
      </c>
      <c r="Y57">
        <v>3</v>
      </c>
      <c r="Z57">
        <v>16</v>
      </c>
      <c r="AA57">
        <v>30</v>
      </c>
      <c r="AB57">
        <v>50814</v>
      </c>
    </row>
    <row r="58" spans="1:28" x14ac:dyDescent="0.3">
      <c r="A58" t="s">
        <v>158</v>
      </c>
      <c r="B58" t="s">
        <v>55</v>
      </c>
      <c r="C58" t="s">
        <v>60</v>
      </c>
      <c r="D58" s="1">
        <v>45384</v>
      </c>
      <c r="E58" s="1">
        <v>45423</v>
      </c>
      <c r="F58" s="16">
        <f t="shared" si="0"/>
        <v>39</v>
      </c>
      <c r="G58">
        <v>35560</v>
      </c>
      <c r="H58" t="s">
        <v>52</v>
      </c>
      <c r="I58">
        <v>181</v>
      </c>
      <c r="J58">
        <v>4</v>
      </c>
      <c r="K58">
        <v>1</v>
      </c>
      <c r="L58" s="11">
        <f t="shared" si="1"/>
        <v>5.5248618784530384E-3</v>
      </c>
      <c r="M58" t="s">
        <v>159</v>
      </c>
      <c r="N58">
        <v>44</v>
      </c>
      <c r="O58">
        <v>7828</v>
      </c>
      <c r="P58">
        <v>78</v>
      </c>
      <c r="Q58">
        <v>85</v>
      </c>
      <c r="R58" s="6">
        <f t="shared" si="2"/>
        <v>7</v>
      </c>
      <c r="S58">
        <v>4</v>
      </c>
      <c r="T58">
        <v>92</v>
      </c>
      <c r="U58">
        <v>74</v>
      </c>
      <c r="V58" t="s">
        <v>35</v>
      </c>
      <c r="W58" t="s">
        <v>31</v>
      </c>
      <c r="X58">
        <v>45</v>
      </c>
      <c r="Y58">
        <v>4</v>
      </c>
      <c r="Z58">
        <v>6</v>
      </c>
      <c r="AA58">
        <v>30</v>
      </c>
      <c r="AB58">
        <v>60753</v>
      </c>
    </row>
    <row r="59" spans="1:28" x14ac:dyDescent="0.3">
      <c r="A59" t="s">
        <v>160</v>
      </c>
      <c r="B59" t="s">
        <v>55</v>
      </c>
      <c r="C59" t="s">
        <v>27</v>
      </c>
      <c r="D59" s="1">
        <v>45376</v>
      </c>
      <c r="E59" s="1">
        <v>45391</v>
      </c>
      <c r="F59" s="16">
        <f t="shared" si="0"/>
        <v>15</v>
      </c>
      <c r="G59">
        <v>41791</v>
      </c>
      <c r="H59" t="s">
        <v>52</v>
      </c>
      <c r="I59">
        <v>17</v>
      </c>
      <c r="J59">
        <v>12</v>
      </c>
      <c r="K59">
        <v>10</v>
      </c>
      <c r="L59" s="11">
        <f t="shared" si="1"/>
        <v>0.58823529411764708</v>
      </c>
      <c r="M59" t="s">
        <v>161</v>
      </c>
      <c r="N59">
        <v>4</v>
      </c>
      <c r="O59">
        <v>16383</v>
      </c>
      <c r="P59">
        <v>46</v>
      </c>
      <c r="Q59">
        <v>51</v>
      </c>
      <c r="R59" s="6">
        <f t="shared" si="2"/>
        <v>5</v>
      </c>
      <c r="S59">
        <v>2</v>
      </c>
      <c r="T59">
        <v>90</v>
      </c>
      <c r="U59">
        <v>86</v>
      </c>
      <c r="V59" t="s">
        <v>35</v>
      </c>
      <c r="W59" t="s">
        <v>31</v>
      </c>
      <c r="X59">
        <v>51</v>
      </c>
      <c r="Y59">
        <v>12</v>
      </c>
      <c r="Z59">
        <v>16</v>
      </c>
      <c r="AA59">
        <v>30</v>
      </c>
      <c r="AB59">
        <v>114366</v>
      </c>
    </row>
    <row r="60" spans="1:28" x14ac:dyDescent="0.3">
      <c r="A60" t="s">
        <v>162</v>
      </c>
      <c r="B60" t="s">
        <v>77</v>
      </c>
      <c r="C60" t="s">
        <v>45</v>
      </c>
      <c r="D60" s="1">
        <v>45395</v>
      </c>
      <c r="E60" s="1">
        <v>45452</v>
      </c>
      <c r="F60" s="16">
        <f t="shared" si="0"/>
        <v>57</v>
      </c>
      <c r="G60">
        <v>5144</v>
      </c>
      <c r="H60" t="s">
        <v>28</v>
      </c>
      <c r="I60">
        <v>94</v>
      </c>
      <c r="J60">
        <v>10</v>
      </c>
      <c r="K60">
        <v>8</v>
      </c>
      <c r="L60" s="11">
        <f t="shared" si="1"/>
        <v>8.5106382978723402E-2</v>
      </c>
      <c r="M60" t="s">
        <v>163</v>
      </c>
      <c r="N60">
        <v>49</v>
      </c>
      <c r="O60">
        <v>17908</v>
      </c>
      <c r="P60">
        <v>82</v>
      </c>
      <c r="Q60">
        <v>95</v>
      </c>
      <c r="R60" s="6">
        <f t="shared" si="2"/>
        <v>13</v>
      </c>
      <c r="S60">
        <v>5</v>
      </c>
      <c r="T60">
        <v>94</v>
      </c>
      <c r="U60">
        <v>90</v>
      </c>
      <c r="V60" t="s">
        <v>35</v>
      </c>
      <c r="W60" t="s">
        <v>31</v>
      </c>
      <c r="X60">
        <v>24</v>
      </c>
      <c r="Y60">
        <v>12</v>
      </c>
      <c r="Z60">
        <v>20</v>
      </c>
      <c r="AA60">
        <v>30</v>
      </c>
      <c r="AB60">
        <v>115946</v>
      </c>
    </row>
    <row r="61" spans="1:28" x14ac:dyDescent="0.3">
      <c r="A61" t="s">
        <v>164</v>
      </c>
      <c r="B61" t="s">
        <v>72</v>
      </c>
      <c r="C61" t="s">
        <v>51</v>
      </c>
      <c r="D61" s="1">
        <v>45744</v>
      </c>
      <c r="E61" s="1">
        <v>45802</v>
      </c>
      <c r="F61" s="16">
        <f t="shared" si="0"/>
        <v>58</v>
      </c>
      <c r="G61">
        <v>16167</v>
      </c>
      <c r="H61" t="s">
        <v>52</v>
      </c>
      <c r="I61">
        <v>148</v>
      </c>
      <c r="J61">
        <v>11</v>
      </c>
      <c r="K61">
        <v>4</v>
      </c>
      <c r="L61" s="11">
        <f t="shared" si="1"/>
        <v>2.7027027027027029E-2</v>
      </c>
      <c r="M61" t="s">
        <v>165</v>
      </c>
      <c r="N61">
        <v>48</v>
      </c>
      <c r="O61">
        <v>13663</v>
      </c>
      <c r="P61">
        <v>54</v>
      </c>
      <c r="Q61">
        <v>78</v>
      </c>
      <c r="R61" s="6">
        <f t="shared" si="2"/>
        <v>24</v>
      </c>
      <c r="S61">
        <v>4</v>
      </c>
      <c r="T61">
        <v>83</v>
      </c>
      <c r="U61">
        <v>52</v>
      </c>
      <c r="V61" t="s">
        <v>35</v>
      </c>
      <c r="W61" t="s">
        <v>31</v>
      </c>
      <c r="X61">
        <v>50</v>
      </c>
      <c r="Y61">
        <v>24</v>
      </c>
      <c r="Z61">
        <v>17</v>
      </c>
      <c r="AA61">
        <v>30</v>
      </c>
      <c r="AB61">
        <v>28533</v>
      </c>
    </row>
    <row r="62" spans="1:28" x14ac:dyDescent="0.3">
      <c r="A62" t="s">
        <v>166</v>
      </c>
      <c r="B62" t="s">
        <v>37</v>
      </c>
      <c r="C62" t="s">
        <v>27</v>
      </c>
      <c r="D62" s="1">
        <v>45637</v>
      </c>
      <c r="E62" s="1">
        <v>45683</v>
      </c>
      <c r="F62" s="16">
        <f t="shared" si="0"/>
        <v>46</v>
      </c>
      <c r="G62">
        <v>22510</v>
      </c>
      <c r="H62" t="s">
        <v>41</v>
      </c>
      <c r="I62">
        <v>129</v>
      </c>
      <c r="J62">
        <v>1</v>
      </c>
      <c r="K62">
        <v>1</v>
      </c>
      <c r="L62" s="11">
        <f t="shared" si="1"/>
        <v>7.7519379844961239E-3</v>
      </c>
      <c r="M62" t="s">
        <v>167</v>
      </c>
      <c r="N62">
        <v>63</v>
      </c>
      <c r="O62">
        <v>5851</v>
      </c>
      <c r="P62">
        <v>61</v>
      </c>
      <c r="Q62">
        <v>75</v>
      </c>
      <c r="R62" s="6">
        <f t="shared" si="2"/>
        <v>14</v>
      </c>
      <c r="S62">
        <v>5</v>
      </c>
      <c r="T62">
        <v>90</v>
      </c>
      <c r="U62">
        <v>76</v>
      </c>
      <c r="V62" t="s">
        <v>35</v>
      </c>
      <c r="W62" t="s">
        <v>43</v>
      </c>
      <c r="X62">
        <v>45</v>
      </c>
      <c r="Y62">
        <v>22</v>
      </c>
      <c r="Z62">
        <v>17</v>
      </c>
      <c r="AA62">
        <v>30</v>
      </c>
      <c r="AB62">
        <v>83082</v>
      </c>
    </row>
    <row r="63" spans="1:28" x14ac:dyDescent="0.3">
      <c r="A63" t="s">
        <v>168</v>
      </c>
      <c r="B63" t="s">
        <v>67</v>
      </c>
      <c r="C63" t="s">
        <v>45</v>
      </c>
      <c r="D63" s="1">
        <v>45745</v>
      </c>
      <c r="E63" s="1">
        <v>45787</v>
      </c>
      <c r="F63" s="16">
        <f t="shared" si="0"/>
        <v>42</v>
      </c>
      <c r="G63">
        <v>16499</v>
      </c>
      <c r="H63" t="s">
        <v>41</v>
      </c>
      <c r="I63">
        <v>129</v>
      </c>
      <c r="J63">
        <v>10</v>
      </c>
      <c r="K63">
        <v>4</v>
      </c>
      <c r="L63" s="11">
        <f t="shared" si="1"/>
        <v>3.1007751937984496E-2</v>
      </c>
      <c r="M63" t="s">
        <v>169</v>
      </c>
      <c r="N63">
        <v>17</v>
      </c>
      <c r="O63">
        <v>29661</v>
      </c>
      <c r="P63">
        <v>69</v>
      </c>
      <c r="Q63">
        <v>83</v>
      </c>
      <c r="R63" s="6">
        <f t="shared" si="2"/>
        <v>14</v>
      </c>
      <c r="S63">
        <v>1</v>
      </c>
      <c r="T63">
        <v>92</v>
      </c>
      <c r="U63">
        <v>76</v>
      </c>
      <c r="V63" t="s">
        <v>35</v>
      </c>
      <c r="W63" t="s">
        <v>43</v>
      </c>
      <c r="X63">
        <v>57</v>
      </c>
      <c r="Y63">
        <v>20</v>
      </c>
      <c r="Z63">
        <v>1</v>
      </c>
      <c r="AA63">
        <v>30</v>
      </c>
      <c r="AB63">
        <v>97999</v>
      </c>
    </row>
    <row r="64" spans="1:28" x14ac:dyDescent="0.3">
      <c r="A64" t="s">
        <v>170</v>
      </c>
      <c r="B64" t="s">
        <v>55</v>
      </c>
      <c r="C64" t="s">
        <v>27</v>
      </c>
      <c r="D64" s="1">
        <v>45739</v>
      </c>
      <c r="E64" s="1">
        <v>45764</v>
      </c>
      <c r="F64" s="16">
        <f t="shared" si="0"/>
        <v>25</v>
      </c>
      <c r="G64">
        <v>9928</v>
      </c>
      <c r="H64" t="s">
        <v>52</v>
      </c>
      <c r="I64">
        <v>111</v>
      </c>
      <c r="J64">
        <v>17</v>
      </c>
      <c r="K64">
        <v>17</v>
      </c>
      <c r="L64" s="11">
        <f t="shared" si="1"/>
        <v>0.15315315315315314</v>
      </c>
      <c r="M64" t="s">
        <v>171</v>
      </c>
      <c r="N64">
        <v>53</v>
      </c>
      <c r="O64">
        <v>25950</v>
      </c>
      <c r="P64">
        <v>84</v>
      </c>
      <c r="Q64">
        <v>91</v>
      </c>
      <c r="R64" s="6">
        <f t="shared" si="2"/>
        <v>7</v>
      </c>
      <c r="S64">
        <v>5</v>
      </c>
      <c r="T64">
        <v>75</v>
      </c>
      <c r="U64">
        <v>89</v>
      </c>
      <c r="V64" t="s">
        <v>30</v>
      </c>
      <c r="W64" t="s">
        <v>31</v>
      </c>
      <c r="X64">
        <v>34</v>
      </c>
      <c r="Y64">
        <v>12</v>
      </c>
      <c r="Z64">
        <v>22</v>
      </c>
      <c r="AA64">
        <v>30</v>
      </c>
      <c r="AB64">
        <v>105030</v>
      </c>
    </row>
    <row r="65" spans="1:28" x14ac:dyDescent="0.3">
      <c r="A65" t="s">
        <v>172</v>
      </c>
      <c r="B65" t="s">
        <v>26</v>
      </c>
      <c r="C65" t="s">
        <v>48</v>
      </c>
      <c r="D65" s="1">
        <v>45785</v>
      </c>
      <c r="E65" s="1">
        <v>45824</v>
      </c>
      <c r="F65" s="16">
        <f t="shared" si="0"/>
        <v>39</v>
      </c>
      <c r="G65">
        <v>21732</v>
      </c>
      <c r="H65" t="s">
        <v>28</v>
      </c>
      <c r="I65">
        <v>145</v>
      </c>
      <c r="J65">
        <v>11</v>
      </c>
      <c r="K65">
        <v>2</v>
      </c>
      <c r="L65" s="11">
        <f t="shared" si="1"/>
        <v>1.3793103448275862E-2</v>
      </c>
      <c r="M65" t="s">
        <v>173</v>
      </c>
      <c r="N65">
        <v>77</v>
      </c>
      <c r="O65">
        <v>17583</v>
      </c>
      <c r="P65">
        <v>82</v>
      </c>
      <c r="Q65">
        <v>97</v>
      </c>
      <c r="R65" s="6">
        <f t="shared" si="2"/>
        <v>15</v>
      </c>
      <c r="S65">
        <v>4</v>
      </c>
      <c r="T65">
        <v>80</v>
      </c>
      <c r="U65">
        <v>90</v>
      </c>
      <c r="V65" t="s">
        <v>35</v>
      </c>
      <c r="W65" t="s">
        <v>31</v>
      </c>
      <c r="X65">
        <v>32</v>
      </c>
      <c r="Y65">
        <v>6</v>
      </c>
      <c r="Z65">
        <v>15</v>
      </c>
      <c r="AA65">
        <v>30</v>
      </c>
      <c r="AB65">
        <v>65515</v>
      </c>
    </row>
    <row r="66" spans="1:28" x14ac:dyDescent="0.3">
      <c r="A66" t="s">
        <v>174</v>
      </c>
      <c r="B66" t="s">
        <v>77</v>
      </c>
      <c r="C66" t="s">
        <v>60</v>
      </c>
      <c r="D66" s="1">
        <v>45484</v>
      </c>
      <c r="E66" s="1">
        <v>45519</v>
      </c>
      <c r="F66" s="16">
        <f t="shared" si="0"/>
        <v>35</v>
      </c>
      <c r="G66">
        <v>48552</v>
      </c>
      <c r="H66" t="s">
        <v>33</v>
      </c>
      <c r="I66">
        <v>159</v>
      </c>
      <c r="J66">
        <v>11</v>
      </c>
      <c r="K66">
        <v>1</v>
      </c>
      <c r="L66" s="11">
        <f t="shared" si="1"/>
        <v>6.2893081761006293E-3</v>
      </c>
      <c r="M66" t="s">
        <v>175</v>
      </c>
      <c r="N66">
        <v>4</v>
      </c>
      <c r="O66">
        <v>27191</v>
      </c>
      <c r="P66">
        <v>82</v>
      </c>
      <c r="Q66">
        <v>100</v>
      </c>
      <c r="R66" s="6">
        <f t="shared" si="2"/>
        <v>18</v>
      </c>
      <c r="S66">
        <v>5</v>
      </c>
      <c r="T66">
        <v>77</v>
      </c>
      <c r="U66">
        <v>58</v>
      </c>
      <c r="V66" t="s">
        <v>35</v>
      </c>
      <c r="W66" t="s">
        <v>31</v>
      </c>
      <c r="X66">
        <v>41</v>
      </c>
      <c r="Y66">
        <v>23</v>
      </c>
      <c r="Z66">
        <v>4</v>
      </c>
      <c r="AA66">
        <v>30</v>
      </c>
      <c r="AB66">
        <v>55291</v>
      </c>
    </row>
    <row r="67" spans="1:28" x14ac:dyDescent="0.3">
      <c r="A67" t="s">
        <v>176</v>
      </c>
      <c r="B67" t="s">
        <v>67</v>
      </c>
      <c r="C67" t="s">
        <v>48</v>
      </c>
      <c r="D67" s="1">
        <v>45481</v>
      </c>
      <c r="E67" s="1">
        <v>45519</v>
      </c>
      <c r="F67" s="16">
        <f t="shared" ref="F67:F130" si="3">E67-D67</f>
        <v>38</v>
      </c>
      <c r="G67">
        <v>7208</v>
      </c>
      <c r="H67" t="s">
        <v>41</v>
      </c>
      <c r="I67">
        <v>134</v>
      </c>
      <c r="J67">
        <v>4</v>
      </c>
      <c r="K67">
        <v>2</v>
      </c>
      <c r="L67" s="11">
        <f t="shared" ref="L67:L130" si="4">K67/I67</f>
        <v>1.4925373134328358E-2</v>
      </c>
      <c r="M67" t="s">
        <v>177</v>
      </c>
      <c r="N67">
        <v>24</v>
      </c>
      <c r="O67">
        <v>19153</v>
      </c>
      <c r="P67">
        <v>54</v>
      </c>
      <c r="Q67">
        <v>82</v>
      </c>
      <c r="R67" s="6">
        <f t="shared" ref="R67:R130" si="5">Q67-P67</f>
        <v>28</v>
      </c>
      <c r="S67">
        <v>4</v>
      </c>
      <c r="T67">
        <v>77</v>
      </c>
      <c r="U67">
        <v>51</v>
      </c>
      <c r="V67" t="s">
        <v>35</v>
      </c>
      <c r="W67" t="s">
        <v>31</v>
      </c>
      <c r="X67">
        <v>33</v>
      </c>
      <c r="Y67">
        <v>5</v>
      </c>
      <c r="Z67">
        <v>25</v>
      </c>
      <c r="AA67">
        <v>30</v>
      </c>
      <c r="AB67">
        <v>37678</v>
      </c>
    </row>
    <row r="68" spans="1:28" x14ac:dyDescent="0.3">
      <c r="A68" t="s">
        <v>178</v>
      </c>
      <c r="B68" t="s">
        <v>55</v>
      </c>
      <c r="C68" t="s">
        <v>51</v>
      </c>
      <c r="D68" s="1">
        <v>45583</v>
      </c>
      <c r="E68" s="1">
        <v>45633</v>
      </c>
      <c r="F68" s="16">
        <f t="shared" si="3"/>
        <v>50</v>
      </c>
      <c r="G68">
        <v>14523</v>
      </c>
      <c r="H68" t="s">
        <v>38</v>
      </c>
      <c r="I68">
        <v>187</v>
      </c>
      <c r="J68">
        <v>20</v>
      </c>
      <c r="K68">
        <v>7</v>
      </c>
      <c r="L68" s="11">
        <f t="shared" si="4"/>
        <v>3.7433155080213901E-2</v>
      </c>
      <c r="M68" t="s">
        <v>179</v>
      </c>
      <c r="N68">
        <v>19</v>
      </c>
      <c r="O68">
        <v>5747</v>
      </c>
      <c r="P68">
        <v>66</v>
      </c>
      <c r="Q68">
        <v>87</v>
      </c>
      <c r="R68" s="6">
        <f t="shared" si="5"/>
        <v>21</v>
      </c>
      <c r="S68">
        <v>5</v>
      </c>
      <c r="T68">
        <v>95</v>
      </c>
      <c r="U68">
        <v>93</v>
      </c>
      <c r="V68" t="s">
        <v>35</v>
      </c>
      <c r="W68" t="s">
        <v>31</v>
      </c>
      <c r="X68">
        <v>48</v>
      </c>
      <c r="Y68">
        <v>0</v>
      </c>
      <c r="Z68">
        <v>18</v>
      </c>
      <c r="AA68">
        <v>30</v>
      </c>
      <c r="AB68">
        <v>94983</v>
      </c>
    </row>
    <row r="69" spans="1:28" x14ac:dyDescent="0.3">
      <c r="A69" t="s">
        <v>180</v>
      </c>
      <c r="B69" t="s">
        <v>26</v>
      </c>
      <c r="C69" t="s">
        <v>60</v>
      </c>
      <c r="D69" s="1">
        <v>45692</v>
      </c>
      <c r="E69" s="1">
        <v>45747</v>
      </c>
      <c r="F69" s="16">
        <f t="shared" si="3"/>
        <v>55</v>
      </c>
      <c r="G69">
        <v>5310</v>
      </c>
      <c r="H69" t="s">
        <v>41</v>
      </c>
      <c r="I69">
        <v>70</v>
      </c>
      <c r="J69">
        <v>8</v>
      </c>
      <c r="K69">
        <v>4</v>
      </c>
      <c r="L69" s="11">
        <f t="shared" si="4"/>
        <v>5.7142857142857141E-2</v>
      </c>
      <c r="M69" t="s">
        <v>181</v>
      </c>
      <c r="N69">
        <v>73</v>
      </c>
      <c r="O69">
        <v>21597</v>
      </c>
      <c r="P69">
        <v>70</v>
      </c>
      <c r="Q69">
        <v>100</v>
      </c>
      <c r="R69" s="6">
        <f t="shared" si="5"/>
        <v>30</v>
      </c>
      <c r="S69">
        <v>5</v>
      </c>
      <c r="T69">
        <v>81</v>
      </c>
      <c r="U69">
        <v>57</v>
      </c>
      <c r="V69" t="s">
        <v>35</v>
      </c>
      <c r="W69" t="s">
        <v>43</v>
      </c>
      <c r="X69">
        <v>58</v>
      </c>
      <c r="Y69">
        <v>10</v>
      </c>
      <c r="Z69">
        <v>5</v>
      </c>
      <c r="AA69">
        <v>30</v>
      </c>
      <c r="AB69">
        <v>108381</v>
      </c>
    </row>
    <row r="70" spans="1:28" x14ac:dyDescent="0.3">
      <c r="A70" t="s">
        <v>182</v>
      </c>
      <c r="B70" t="s">
        <v>37</v>
      </c>
      <c r="C70" t="s">
        <v>60</v>
      </c>
      <c r="D70" s="1">
        <v>45642</v>
      </c>
      <c r="E70" s="1">
        <v>45651</v>
      </c>
      <c r="F70" s="16">
        <f t="shared" si="3"/>
        <v>9</v>
      </c>
      <c r="G70">
        <v>16698</v>
      </c>
      <c r="H70" t="s">
        <v>52</v>
      </c>
      <c r="I70">
        <v>108</v>
      </c>
      <c r="J70">
        <v>16</v>
      </c>
      <c r="K70">
        <v>11</v>
      </c>
      <c r="L70" s="11">
        <f t="shared" si="4"/>
        <v>0.10185185185185185</v>
      </c>
      <c r="M70" t="s">
        <v>183</v>
      </c>
      <c r="N70">
        <v>20</v>
      </c>
      <c r="O70">
        <v>1055</v>
      </c>
      <c r="P70">
        <v>75</v>
      </c>
      <c r="Q70">
        <v>85</v>
      </c>
      <c r="R70" s="6">
        <f t="shared" si="5"/>
        <v>10</v>
      </c>
      <c r="S70">
        <v>3</v>
      </c>
      <c r="T70">
        <v>91</v>
      </c>
      <c r="U70">
        <v>95</v>
      </c>
      <c r="V70" t="s">
        <v>30</v>
      </c>
      <c r="W70" t="s">
        <v>31</v>
      </c>
      <c r="X70">
        <v>25</v>
      </c>
      <c r="Y70">
        <v>9</v>
      </c>
      <c r="Z70">
        <v>17</v>
      </c>
      <c r="AA70">
        <v>30</v>
      </c>
      <c r="AB70">
        <v>114582</v>
      </c>
    </row>
    <row r="71" spans="1:28" x14ac:dyDescent="0.3">
      <c r="A71" t="s">
        <v>184</v>
      </c>
      <c r="B71" t="s">
        <v>26</v>
      </c>
      <c r="C71" t="s">
        <v>27</v>
      </c>
      <c r="D71" s="1">
        <v>45680</v>
      </c>
      <c r="E71" s="1">
        <v>45725</v>
      </c>
      <c r="F71" s="16">
        <f t="shared" si="3"/>
        <v>45</v>
      </c>
      <c r="G71">
        <v>11939</v>
      </c>
      <c r="H71" t="s">
        <v>33</v>
      </c>
      <c r="I71">
        <v>28</v>
      </c>
      <c r="J71">
        <v>5</v>
      </c>
      <c r="K71">
        <v>5</v>
      </c>
      <c r="L71" s="11">
        <f t="shared" si="4"/>
        <v>0.17857142857142858</v>
      </c>
      <c r="M71" t="s">
        <v>185</v>
      </c>
      <c r="N71">
        <v>53</v>
      </c>
      <c r="O71">
        <v>1580</v>
      </c>
      <c r="P71">
        <v>57</v>
      </c>
      <c r="Q71">
        <v>83</v>
      </c>
      <c r="R71" s="6">
        <f t="shared" si="5"/>
        <v>26</v>
      </c>
      <c r="S71">
        <v>1</v>
      </c>
      <c r="T71">
        <v>77</v>
      </c>
      <c r="U71">
        <v>51</v>
      </c>
      <c r="V71" t="s">
        <v>35</v>
      </c>
      <c r="W71" t="s">
        <v>31</v>
      </c>
      <c r="X71">
        <v>39</v>
      </c>
      <c r="Y71">
        <v>23</v>
      </c>
      <c r="Z71">
        <v>13</v>
      </c>
      <c r="AA71">
        <v>30</v>
      </c>
      <c r="AB71">
        <v>96675</v>
      </c>
    </row>
    <row r="72" spans="1:28" x14ac:dyDescent="0.3">
      <c r="A72" t="s">
        <v>186</v>
      </c>
      <c r="B72" t="s">
        <v>72</v>
      </c>
      <c r="C72" t="s">
        <v>45</v>
      </c>
      <c r="D72" s="1">
        <v>45702</v>
      </c>
      <c r="E72" s="1">
        <v>45724</v>
      </c>
      <c r="F72" s="16">
        <f t="shared" si="3"/>
        <v>22</v>
      </c>
      <c r="G72">
        <v>21914</v>
      </c>
      <c r="H72" t="s">
        <v>28</v>
      </c>
      <c r="I72">
        <v>55</v>
      </c>
      <c r="J72">
        <v>8</v>
      </c>
      <c r="K72">
        <v>2</v>
      </c>
      <c r="L72" s="11">
        <f t="shared" si="4"/>
        <v>3.6363636363636362E-2</v>
      </c>
      <c r="M72" t="s">
        <v>187</v>
      </c>
      <c r="N72">
        <v>6</v>
      </c>
      <c r="O72">
        <v>8871</v>
      </c>
      <c r="P72">
        <v>84</v>
      </c>
      <c r="Q72">
        <v>90</v>
      </c>
      <c r="R72" s="6">
        <f t="shared" si="5"/>
        <v>6</v>
      </c>
      <c r="S72">
        <v>2</v>
      </c>
      <c r="T72">
        <v>99</v>
      </c>
      <c r="U72">
        <v>92</v>
      </c>
      <c r="V72" t="s">
        <v>35</v>
      </c>
      <c r="W72" t="s">
        <v>43</v>
      </c>
      <c r="X72">
        <v>59</v>
      </c>
      <c r="Y72">
        <v>6</v>
      </c>
      <c r="Z72">
        <v>7</v>
      </c>
      <c r="AA72">
        <v>30</v>
      </c>
      <c r="AB72">
        <v>72405</v>
      </c>
    </row>
    <row r="73" spans="1:28" x14ac:dyDescent="0.3">
      <c r="A73" t="s">
        <v>188</v>
      </c>
      <c r="B73" t="s">
        <v>77</v>
      </c>
      <c r="C73" t="s">
        <v>86</v>
      </c>
      <c r="D73" s="1">
        <v>45764</v>
      </c>
      <c r="E73" s="1">
        <v>45782</v>
      </c>
      <c r="F73" s="16">
        <f t="shared" si="3"/>
        <v>18</v>
      </c>
      <c r="G73">
        <v>39414</v>
      </c>
      <c r="H73" t="s">
        <v>41</v>
      </c>
      <c r="I73">
        <v>61</v>
      </c>
      <c r="J73">
        <v>19</v>
      </c>
      <c r="K73">
        <v>16</v>
      </c>
      <c r="L73" s="11">
        <f t="shared" si="4"/>
        <v>0.26229508196721313</v>
      </c>
      <c r="M73" t="s">
        <v>189</v>
      </c>
      <c r="N73">
        <v>76</v>
      </c>
      <c r="O73">
        <v>26453</v>
      </c>
      <c r="P73">
        <v>75</v>
      </c>
      <c r="Q73">
        <v>99</v>
      </c>
      <c r="R73" s="6">
        <f t="shared" si="5"/>
        <v>24</v>
      </c>
      <c r="S73">
        <v>5</v>
      </c>
      <c r="T73">
        <v>92</v>
      </c>
      <c r="U73">
        <v>75</v>
      </c>
      <c r="V73" t="s">
        <v>30</v>
      </c>
      <c r="W73" t="s">
        <v>43</v>
      </c>
      <c r="X73">
        <v>47</v>
      </c>
      <c r="Y73">
        <v>12</v>
      </c>
      <c r="Z73">
        <v>16</v>
      </c>
      <c r="AA73">
        <v>30</v>
      </c>
      <c r="AB73">
        <v>93475</v>
      </c>
    </row>
    <row r="74" spans="1:28" x14ac:dyDescent="0.3">
      <c r="A74" t="s">
        <v>190</v>
      </c>
      <c r="B74" t="s">
        <v>67</v>
      </c>
      <c r="C74" t="s">
        <v>45</v>
      </c>
      <c r="D74" s="1">
        <v>45481</v>
      </c>
      <c r="E74" s="1">
        <v>45518</v>
      </c>
      <c r="F74" s="16">
        <f t="shared" si="3"/>
        <v>37</v>
      </c>
      <c r="G74">
        <v>48276</v>
      </c>
      <c r="H74" t="s">
        <v>38</v>
      </c>
      <c r="I74">
        <v>148</v>
      </c>
      <c r="J74">
        <v>11</v>
      </c>
      <c r="K74">
        <v>4</v>
      </c>
      <c r="L74" s="11">
        <f t="shared" si="4"/>
        <v>2.7027027027027029E-2</v>
      </c>
      <c r="M74" t="s">
        <v>191</v>
      </c>
      <c r="N74">
        <v>26</v>
      </c>
      <c r="O74">
        <v>10373</v>
      </c>
      <c r="P74">
        <v>60</v>
      </c>
      <c r="Q74">
        <v>80</v>
      </c>
      <c r="R74" s="6">
        <f t="shared" si="5"/>
        <v>20</v>
      </c>
      <c r="S74">
        <v>2</v>
      </c>
      <c r="T74">
        <v>81</v>
      </c>
      <c r="U74">
        <v>68</v>
      </c>
      <c r="V74" t="s">
        <v>35</v>
      </c>
      <c r="W74" t="s">
        <v>31</v>
      </c>
      <c r="X74">
        <v>55</v>
      </c>
      <c r="Y74">
        <v>19</v>
      </c>
      <c r="Z74">
        <v>22</v>
      </c>
      <c r="AA74">
        <v>30</v>
      </c>
      <c r="AB74">
        <v>25104</v>
      </c>
    </row>
    <row r="75" spans="1:28" x14ac:dyDescent="0.3">
      <c r="A75" t="s">
        <v>192</v>
      </c>
      <c r="B75" t="s">
        <v>77</v>
      </c>
      <c r="C75" t="s">
        <v>27</v>
      </c>
      <c r="D75" s="1">
        <v>45531</v>
      </c>
      <c r="E75" s="1">
        <v>45538</v>
      </c>
      <c r="F75" s="16">
        <f t="shared" si="3"/>
        <v>7</v>
      </c>
      <c r="G75">
        <v>23451</v>
      </c>
      <c r="H75" t="s">
        <v>41</v>
      </c>
      <c r="I75">
        <v>152</v>
      </c>
      <c r="J75">
        <v>12</v>
      </c>
      <c r="K75">
        <v>7</v>
      </c>
      <c r="L75" s="11">
        <f t="shared" si="4"/>
        <v>4.6052631578947366E-2</v>
      </c>
      <c r="M75" t="s">
        <v>193</v>
      </c>
      <c r="N75">
        <v>19</v>
      </c>
      <c r="O75">
        <v>13403</v>
      </c>
      <c r="P75">
        <v>76</v>
      </c>
      <c r="Q75">
        <v>96</v>
      </c>
      <c r="R75" s="6">
        <f t="shared" si="5"/>
        <v>20</v>
      </c>
      <c r="S75">
        <v>3</v>
      </c>
      <c r="T75">
        <v>86</v>
      </c>
      <c r="U75">
        <v>100</v>
      </c>
      <c r="V75" t="s">
        <v>30</v>
      </c>
      <c r="W75" t="s">
        <v>31</v>
      </c>
      <c r="X75">
        <v>51</v>
      </c>
      <c r="Y75">
        <v>24</v>
      </c>
      <c r="Z75">
        <v>5</v>
      </c>
      <c r="AA75">
        <v>30</v>
      </c>
      <c r="AB75">
        <v>55973</v>
      </c>
    </row>
    <row r="76" spans="1:28" x14ac:dyDescent="0.3">
      <c r="A76" t="s">
        <v>194</v>
      </c>
      <c r="B76" t="s">
        <v>67</v>
      </c>
      <c r="C76" t="s">
        <v>86</v>
      </c>
      <c r="D76" s="1">
        <v>45777</v>
      </c>
      <c r="E76" s="1">
        <v>45814</v>
      </c>
      <c r="F76" s="16">
        <f t="shared" si="3"/>
        <v>37</v>
      </c>
      <c r="G76">
        <v>20059</v>
      </c>
      <c r="H76" t="s">
        <v>41</v>
      </c>
      <c r="I76">
        <v>100</v>
      </c>
      <c r="J76">
        <v>15</v>
      </c>
      <c r="K76">
        <v>13</v>
      </c>
      <c r="L76" s="11">
        <f t="shared" si="4"/>
        <v>0.13</v>
      </c>
      <c r="M76" t="s">
        <v>195</v>
      </c>
      <c r="N76">
        <v>10</v>
      </c>
      <c r="O76">
        <v>12926</v>
      </c>
      <c r="P76">
        <v>66</v>
      </c>
      <c r="Q76">
        <v>81</v>
      </c>
      <c r="R76" s="6">
        <f t="shared" si="5"/>
        <v>15</v>
      </c>
      <c r="S76">
        <v>1</v>
      </c>
      <c r="T76">
        <v>75</v>
      </c>
      <c r="U76">
        <v>53</v>
      </c>
      <c r="V76" t="s">
        <v>35</v>
      </c>
      <c r="W76" t="s">
        <v>43</v>
      </c>
      <c r="X76">
        <v>32</v>
      </c>
      <c r="Y76">
        <v>12</v>
      </c>
      <c r="Z76">
        <v>12</v>
      </c>
      <c r="AA76">
        <v>30</v>
      </c>
      <c r="AB76">
        <v>41209</v>
      </c>
    </row>
    <row r="77" spans="1:28" x14ac:dyDescent="0.3">
      <c r="A77" t="s">
        <v>196</v>
      </c>
      <c r="B77" t="s">
        <v>37</v>
      </c>
      <c r="C77" t="s">
        <v>86</v>
      </c>
      <c r="D77" s="1">
        <v>45531</v>
      </c>
      <c r="E77" s="1">
        <v>45553</v>
      </c>
      <c r="F77" s="16">
        <f t="shared" si="3"/>
        <v>22</v>
      </c>
      <c r="G77">
        <v>26603</v>
      </c>
      <c r="H77" t="s">
        <v>52</v>
      </c>
      <c r="I77">
        <v>46</v>
      </c>
      <c r="J77">
        <v>19</v>
      </c>
      <c r="K77">
        <v>8</v>
      </c>
      <c r="L77" s="11">
        <f t="shared" si="4"/>
        <v>0.17391304347826086</v>
      </c>
      <c r="M77" t="s">
        <v>197</v>
      </c>
      <c r="N77">
        <v>7</v>
      </c>
      <c r="O77">
        <v>1742</v>
      </c>
      <c r="P77">
        <v>76</v>
      </c>
      <c r="Q77">
        <v>100</v>
      </c>
      <c r="R77" s="6">
        <f t="shared" si="5"/>
        <v>24</v>
      </c>
      <c r="S77">
        <v>3</v>
      </c>
      <c r="T77">
        <v>87</v>
      </c>
      <c r="U77">
        <v>56</v>
      </c>
      <c r="V77" t="s">
        <v>35</v>
      </c>
      <c r="W77" t="s">
        <v>43</v>
      </c>
      <c r="X77">
        <v>52</v>
      </c>
      <c r="Y77">
        <v>11</v>
      </c>
      <c r="Z77">
        <v>15</v>
      </c>
      <c r="AA77">
        <v>30</v>
      </c>
      <c r="AB77">
        <v>31281</v>
      </c>
    </row>
    <row r="78" spans="1:28" x14ac:dyDescent="0.3">
      <c r="A78" t="s">
        <v>198</v>
      </c>
      <c r="B78" t="s">
        <v>77</v>
      </c>
      <c r="C78" t="s">
        <v>60</v>
      </c>
      <c r="D78" s="1">
        <v>45538</v>
      </c>
      <c r="E78" s="1">
        <v>45578</v>
      </c>
      <c r="F78" s="16">
        <f t="shared" si="3"/>
        <v>40</v>
      </c>
      <c r="G78">
        <v>8142</v>
      </c>
      <c r="H78" t="s">
        <v>28</v>
      </c>
      <c r="I78">
        <v>176</v>
      </c>
      <c r="J78">
        <v>4</v>
      </c>
      <c r="K78">
        <v>2</v>
      </c>
      <c r="L78" s="11">
        <f t="shared" si="4"/>
        <v>1.1363636363636364E-2</v>
      </c>
      <c r="M78" t="s">
        <v>199</v>
      </c>
      <c r="N78">
        <v>68</v>
      </c>
      <c r="O78">
        <v>15332</v>
      </c>
      <c r="P78">
        <v>56</v>
      </c>
      <c r="Q78">
        <v>84</v>
      </c>
      <c r="R78" s="6">
        <f t="shared" si="5"/>
        <v>28</v>
      </c>
      <c r="S78">
        <v>5</v>
      </c>
      <c r="T78">
        <v>97</v>
      </c>
      <c r="U78">
        <v>72</v>
      </c>
      <c r="V78" t="s">
        <v>35</v>
      </c>
      <c r="W78" t="s">
        <v>31</v>
      </c>
      <c r="X78">
        <v>35</v>
      </c>
      <c r="Y78">
        <v>21</v>
      </c>
      <c r="Z78">
        <v>4</v>
      </c>
      <c r="AA78">
        <v>30</v>
      </c>
      <c r="AB78">
        <v>96839</v>
      </c>
    </row>
    <row r="79" spans="1:28" x14ac:dyDescent="0.3">
      <c r="A79" t="s">
        <v>200</v>
      </c>
      <c r="B79" t="s">
        <v>72</v>
      </c>
      <c r="C79" t="s">
        <v>51</v>
      </c>
      <c r="D79" s="1">
        <v>45779</v>
      </c>
      <c r="E79" s="1">
        <v>45826</v>
      </c>
      <c r="F79" s="16">
        <f t="shared" si="3"/>
        <v>47</v>
      </c>
      <c r="G79">
        <v>7224</v>
      </c>
      <c r="H79" t="s">
        <v>41</v>
      </c>
      <c r="I79">
        <v>155</v>
      </c>
      <c r="J79">
        <v>6</v>
      </c>
      <c r="K79">
        <v>5</v>
      </c>
      <c r="L79" s="11">
        <f t="shared" si="4"/>
        <v>3.2258064516129031E-2</v>
      </c>
      <c r="M79" t="s">
        <v>201</v>
      </c>
      <c r="N79">
        <v>14</v>
      </c>
      <c r="O79">
        <v>10939</v>
      </c>
      <c r="P79">
        <v>46</v>
      </c>
      <c r="Q79">
        <v>64</v>
      </c>
      <c r="R79" s="6">
        <f t="shared" si="5"/>
        <v>18</v>
      </c>
      <c r="S79">
        <v>1</v>
      </c>
      <c r="T79">
        <v>75</v>
      </c>
      <c r="U79">
        <v>68</v>
      </c>
      <c r="V79" t="s">
        <v>35</v>
      </c>
      <c r="W79" t="s">
        <v>31</v>
      </c>
      <c r="X79">
        <v>54</v>
      </c>
      <c r="Y79">
        <v>6</v>
      </c>
      <c r="Z79">
        <v>3</v>
      </c>
      <c r="AA79">
        <v>30</v>
      </c>
      <c r="AB79">
        <v>87226</v>
      </c>
    </row>
    <row r="80" spans="1:28" x14ac:dyDescent="0.3">
      <c r="A80" t="s">
        <v>202</v>
      </c>
      <c r="B80" t="s">
        <v>72</v>
      </c>
      <c r="C80" t="s">
        <v>51</v>
      </c>
      <c r="D80" s="1">
        <v>45575</v>
      </c>
      <c r="E80" s="1">
        <v>45589</v>
      </c>
      <c r="F80" s="16">
        <f t="shared" si="3"/>
        <v>14</v>
      </c>
      <c r="G80">
        <v>42330</v>
      </c>
      <c r="H80" t="s">
        <v>41</v>
      </c>
      <c r="I80">
        <v>141</v>
      </c>
      <c r="J80">
        <v>14</v>
      </c>
      <c r="K80">
        <v>2</v>
      </c>
      <c r="L80" s="11">
        <f t="shared" si="4"/>
        <v>1.4184397163120567E-2</v>
      </c>
      <c r="M80" t="s">
        <v>203</v>
      </c>
      <c r="N80">
        <v>46</v>
      </c>
      <c r="O80">
        <v>24908</v>
      </c>
      <c r="P80">
        <v>59</v>
      </c>
      <c r="Q80">
        <v>61</v>
      </c>
      <c r="R80" s="6">
        <f t="shared" si="5"/>
        <v>2</v>
      </c>
      <c r="S80">
        <v>3</v>
      </c>
      <c r="T80">
        <v>98</v>
      </c>
      <c r="U80">
        <v>68</v>
      </c>
      <c r="V80" t="s">
        <v>35</v>
      </c>
      <c r="W80" t="s">
        <v>43</v>
      </c>
      <c r="X80">
        <v>41</v>
      </c>
      <c r="Y80">
        <v>19</v>
      </c>
      <c r="Z80">
        <v>25</v>
      </c>
      <c r="AA80">
        <v>30</v>
      </c>
      <c r="AB80">
        <v>55211</v>
      </c>
    </row>
    <row r="81" spans="1:28" x14ac:dyDescent="0.3">
      <c r="A81" t="s">
        <v>204</v>
      </c>
      <c r="B81" t="s">
        <v>55</v>
      </c>
      <c r="C81" t="s">
        <v>86</v>
      </c>
      <c r="D81" s="1">
        <v>45425</v>
      </c>
      <c r="E81" s="1">
        <v>45431</v>
      </c>
      <c r="F81" s="16">
        <f t="shared" si="3"/>
        <v>6</v>
      </c>
      <c r="G81">
        <v>41363</v>
      </c>
      <c r="H81" t="s">
        <v>33</v>
      </c>
      <c r="I81">
        <v>89</v>
      </c>
      <c r="J81">
        <v>19</v>
      </c>
      <c r="K81">
        <v>4</v>
      </c>
      <c r="L81" s="11">
        <f t="shared" si="4"/>
        <v>4.49438202247191E-2</v>
      </c>
      <c r="M81" t="s">
        <v>205</v>
      </c>
      <c r="N81">
        <v>74</v>
      </c>
      <c r="O81">
        <v>9832</v>
      </c>
      <c r="P81">
        <v>50</v>
      </c>
      <c r="Q81">
        <v>80</v>
      </c>
      <c r="R81" s="6">
        <f t="shared" si="5"/>
        <v>30</v>
      </c>
      <c r="S81">
        <v>3</v>
      </c>
      <c r="T81">
        <v>85</v>
      </c>
      <c r="U81">
        <v>96</v>
      </c>
      <c r="V81" t="s">
        <v>35</v>
      </c>
      <c r="W81" t="s">
        <v>31</v>
      </c>
      <c r="X81">
        <v>58</v>
      </c>
      <c r="Y81">
        <v>10</v>
      </c>
      <c r="Z81">
        <v>15</v>
      </c>
      <c r="AA81">
        <v>30</v>
      </c>
      <c r="AB81">
        <v>108450</v>
      </c>
    </row>
    <row r="82" spans="1:28" x14ac:dyDescent="0.3">
      <c r="A82" t="s">
        <v>206</v>
      </c>
      <c r="B82" t="s">
        <v>55</v>
      </c>
      <c r="C82" t="s">
        <v>45</v>
      </c>
      <c r="D82" s="1">
        <v>45451</v>
      </c>
      <c r="E82" s="1">
        <v>45497</v>
      </c>
      <c r="F82" s="16">
        <f t="shared" si="3"/>
        <v>46</v>
      </c>
      <c r="G82">
        <v>17728</v>
      </c>
      <c r="H82" t="s">
        <v>52</v>
      </c>
      <c r="I82">
        <v>16</v>
      </c>
      <c r="J82">
        <v>2</v>
      </c>
      <c r="K82">
        <v>1</v>
      </c>
      <c r="L82" s="11">
        <f t="shared" si="4"/>
        <v>6.25E-2</v>
      </c>
      <c r="M82" t="s">
        <v>207</v>
      </c>
      <c r="N82">
        <v>24</v>
      </c>
      <c r="O82">
        <v>26528</v>
      </c>
      <c r="P82">
        <v>72</v>
      </c>
      <c r="Q82">
        <v>79</v>
      </c>
      <c r="R82" s="6">
        <f t="shared" si="5"/>
        <v>7</v>
      </c>
      <c r="S82">
        <v>3</v>
      </c>
      <c r="T82">
        <v>96</v>
      </c>
      <c r="U82">
        <v>84</v>
      </c>
      <c r="V82" t="s">
        <v>35</v>
      </c>
      <c r="W82" t="s">
        <v>31</v>
      </c>
      <c r="X82">
        <v>38</v>
      </c>
      <c r="Y82">
        <v>17</v>
      </c>
      <c r="Z82">
        <v>11</v>
      </c>
      <c r="AA82">
        <v>30</v>
      </c>
      <c r="AB82">
        <v>111822</v>
      </c>
    </row>
    <row r="83" spans="1:28" x14ac:dyDescent="0.3">
      <c r="A83" t="s">
        <v>208</v>
      </c>
      <c r="B83" t="s">
        <v>37</v>
      </c>
      <c r="C83" t="s">
        <v>86</v>
      </c>
      <c r="D83" s="1">
        <v>45447</v>
      </c>
      <c r="E83" s="1">
        <v>45480</v>
      </c>
      <c r="F83" s="16">
        <f t="shared" si="3"/>
        <v>33</v>
      </c>
      <c r="G83">
        <v>39759</v>
      </c>
      <c r="H83" t="s">
        <v>33</v>
      </c>
      <c r="I83">
        <v>10</v>
      </c>
      <c r="J83">
        <v>6</v>
      </c>
      <c r="K83">
        <v>3</v>
      </c>
      <c r="L83" s="11">
        <f t="shared" si="4"/>
        <v>0.3</v>
      </c>
      <c r="M83" t="s">
        <v>209</v>
      </c>
      <c r="N83">
        <v>53</v>
      </c>
      <c r="O83">
        <v>9271</v>
      </c>
      <c r="P83">
        <v>69</v>
      </c>
      <c r="Q83">
        <v>73</v>
      </c>
      <c r="R83" s="6">
        <f t="shared" si="5"/>
        <v>4</v>
      </c>
      <c r="S83">
        <v>2</v>
      </c>
      <c r="T83">
        <v>84</v>
      </c>
      <c r="U83">
        <v>80</v>
      </c>
      <c r="V83" t="s">
        <v>35</v>
      </c>
      <c r="W83" t="s">
        <v>31</v>
      </c>
      <c r="X83">
        <v>23</v>
      </c>
      <c r="Y83">
        <v>22</v>
      </c>
      <c r="Z83">
        <v>16</v>
      </c>
      <c r="AA83">
        <v>30</v>
      </c>
      <c r="AB83">
        <v>45747</v>
      </c>
    </row>
    <row r="84" spans="1:28" x14ac:dyDescent="0.3">
      <c r="A84" t="s">
        <v>210</v>
      </c>
      <c r="B84" t="s">
        <v>67</v>
      </c>
      <c r="C84" t="s">
        <v>45</v>
      </c>
      <c r="D84" s="1">
        <v>45347</v>
      </c>
      <c r="E84" s="1">
        <v>45366</v>
      </c>
      <c r="F84" s="16">
        <f t="shared" si="3"/>
        <v>19</v>
      </c>
      <c r="G84">
        <v>34143</v>
      </c>
      <c r="H84" t="s">
        <v>38</v>
      </c>
      <c r="I84">
        <v>133</v>
      </c>
      <c r="J84">
        <v>20</v>
      </c>
      <c r="K84">
        <v>20</v>
      </c>
      <c r="L84" s="11">
        <f t="shared" si="4"/>
        <v>0.15037593984962405</v>
      </c>
      <c r="M84" t="s">
        <v>211</v>
      </c>
      <c r="N84">
        <v>8</v>
      </c>
      <c r="O84">
        <v>23712</v>
      </c>
      <c r="P84">
        <v>76</v>
      </c>
      <c r="Q84">
        <v>91</v>
      </c>
      <c r="R84" s="6">
        <f t="shared" si="5"/>
        <v>15</v>
      </c>
      <c r="S84">
        <v>1</v>
      </c>
      <c r="T84">
        <v>88</v>
      </c>
      <c r="U84">
        <v>75</v>
      </c>
      <c r="V84" t="s">
        <v>30</v>
      </c>
      <c r="W84" t="s">
        <v>43</v>
      </c>
      <c r="X84">
        <v>31</v>
      </c>
      <c r="Y84">
        <v>16</v>
      </c>
      <c r="Z84">
        <v>10</v>
      </c>
      <c r="AA84">
        <v>30</v>
      </c>
      <c r="AB84">
        <v>51435</v>
      </c>
    </row>
    <row r="85" spans="1:28" x14ac:dyDescent="0.3">
      <c r="A85" t="s">
        <v>212</v>
      </c>
      <c r="B85" t="s">
        <v>37</v>
      </c>
      <c r="C85" t="s">
        <v>45</v>
      </c>
      <c r="D85" s="1">
        <v>45556</v>
      </c>
      <c r="E85" s="1">
        <v>45610</v>
      </c>
      <c r="F85" s="16">
        <f t="shared" si="3"/>
        <v>54</v>
      </c>
      <c r="G85">
        <v>13183</v>
      </c>
      <c r="H85" t="s">
        <v>41</v>
      </c>
      <c r="I85">
        <v>128</v>
      </c>
      <c r="J85">
        <v>14</v>
      </c>
      <c r="K85">
        <v>14</v>
      </c>
      <c r="L85" s="11">
        <f t="shared" si="4"/>
        <v>0.109375</v>
      </c>
      <c r="M85" t="s">
        <v>213</v>
      </c>
      <c r="N85">
        <v>78</v>
      </c>
      <c r="O85">
        <v>10863</v>
      </c>
      <c r="P85">
        <v>59</v>
      </c>
      <c r="Q85">
        <v>79</v>
      </c>
      <c r="R85" s="6">
        <f t="shared" si="5"/>
        <v>20</v>
      </c>
      <c r="S85">
        <v>1</v>
      </c>
      <c r="T85">
        <v>85</v>
      </c>
      <c r="U85">
        <v>53</v>
      </c>
      <c r="V85" t="s">
        <v>35</v>
      </c>
      <c r="W85" t="s">
        <v>43</v>
      </c>
      <c r="X85">
        <v>30</v>
      </c>
      <c r="Y85">
        <v>24</v>
      </c>
      <c r="Z85">
        <v>25</v>
      </c>
      <c r="AA85">
        <v>30</v>
      </c>
      <c r="AB85">
        <v>93373</v>
      </c>
    </row>
    <row r="86" spans="1:28" x14ac:dyDescent="0.3">
      <c r="A86" t="s">
        <v>214</v>
      </c>
      <c r="B86" t="s">
        <v>55</v>
      </c>
      <c r="C86" t="s">
        <v>27</v>
      </c>
      <c r="D86" s="1">
        <v>45541</v>
      </c>
      <c r="E86" s="1">
        <v>45569</v>
      </c>
      <c r="F86" s="16">
        <f t="shared" si="3"/>
        <v>28</v>
      </c>
      <c r="G86">
        <v>48999</v>
      </c>
      <c r="H86" t="s">
        <v>38</v>
      </c>
      <c r="I86">
        <v>182</v>
      </c>
      <c r="J86">
        <v>2</v>
      </c>
      <c r="K86">
        <v>1</v>
      </c>
      <c r="L86" s="11">
        <f t="shared" si="4"/>
        <v>5.4945054945054949E-3</v>
      </c>
      <c r="M86" t="s">
        <v>215</v>
      </c>
      <c r="N86">
        <v>56</v>
      </c>
      <c r="O86">
        <v>2475</v>
      </c>
      <c r="P86">
        <v>81</v>
      </c>
      <c r="Q86">
        <v>100</v>
      </c>
      <c r="R86" s="6">
        <f t="shared" si="5"/>
        <v>19</v>
      </c>
      <c r="S86">
        <v>5</v>
      </c>
      <c r="T86">
        <v>84</v>
      </c>
      <c r="U86">
        <v>51</v>
      </c>
      <c r="V86" t="s">
        <v>35</v>
      </c>
      <c r="W86" t="s">
        <v>31</v>
      </c>
      <c r="X86">
        <v>23</v>
      </c>
      <c r="Y86">
        <v>7</v>
      </c>
      <c r="Z86">
        <v>5</v>
      </c>
      <c r="AA86">
        <v>30</v>
      </c>
      <c r="AB86">
        <v>28661</v>
      </c>
    </row>
    <row r="87" spans="1:28" x14ac:dyDescent="0.3">
      <c r="A87" t="s">
        <v>216</v>
      </c>
      <c r="B87" t="s">
        <v>72</v>
      </c>
      <c r="C87" t="s">
        <v>27</v>
      </c>
      <c r="D87" s="1">
        <v>45451</v>
      </c>
      <c r="E87" s="1">
        <v>45499</v>
      </c>
      <c r="F87" s="16">
        <f t="shared" si="3"/>
        <v>48</v>
      </c>
      <c r="G87">
        <v>10382</v>
      </c>
      <c r="H87" t="s">
        <v>41</v>
      </c>
      <c r="I87">
        <v>73</v>
      </c>
      <c r="J87">
        <v>20</v>
      </c>
      <c r="K87">
        <v>10</v>
      </c>
      <c r="L87" s="11">
        <f t="shared" si="4"/>
        <v>0.13698630136986301</v>
      </c>
      <c r="M87" t="s">
        <v>217</v>
      </c>
      <c r="N87">
        <v>37</v>
      </c>
      <c r="O87">
        <v>13139</v>
      </c>
      <c r="P87">
        <v>64</v>
      </c>
      <c r="Q87">
        <v>75</v>
      </c>
      <c r="R87" s="6">
        <f t="shared" si="5"/>
        <v>11</v>
      </c>
      <c r="S87">
        <v>2</v>
      </c>
      <c r="T87">
        <v>75</v>
      </c>
      <c r="U87">
        <v>60</v>
      </c>
      <c r="V87" t="s">
        <v>35</v>
      </c>
      <c r="W87" t="s">
        <v>31</v>
      </c>
      <c r="X87">
        <v>29</v>
      </c>
      <c r="Y87">
        <v>3</v>
      </c>
      <c r="Z87">
        <v>17</v>
      </c>
      <c r="AA87">
        <v>30</v>
      </c>
      <c r="AB87">
        <v>31505</v>
      </c>
    </row>
    <row r="88" spans="1:28" x14ac:dyDescent="0.3">
      <c r="A88" t="s">
        <v>218</v>
      </c>
      <c r="B88" t="s">
        <v>55</v>
      </c>
      <c r="C88" t="s">
        <v>27</v>
      </c>
      <c r="D88" s="1">
        <v>45622</v>
      </c>
      <c r="E88" s="1">
        <v>45657</v>
      </c>
      <c r="F88" s="16">
        <f t="shared" si="3"/>
        <v>35</v>
      </c>
      <c r="G88">
        <v>17958</v>
      </c>
      <c r="H88" t="s">
        <v>41</v>
      </c>
      <c r="I88">
        <v>74</v>
      </c>
      <c r="J88">
        <v>15</v>
      </c>
      <c r="K88">
        <v>9</v>
      </c>
      <c r="L88" s="11">
        <f t="shared" si="4"/>
        <v>0.12162162162162163</v>
      </c>
      <c r="M88" t="s">
        <v>219</v>
      </c>
      <c r="N88">
        <v>43</v>
      </c>
      <c r="O88">
        <v>20918</v>
      </c>
      <c r="P88">
        <v>66</v>
      </c>
      <c r="Q88">
        <v>74</v>
      </c>
      <c r="R88" s="6">
        <f t="shared" si="5"/>
        <v>8</v>
      </c>
      <c r="S88">
        <v>5</v>
      </c>
      <c r="T88">
        <v>100</v>
      </c>
      <c r="U88">
        <v>54</v>
      </c>
      <c r="V88" t="s">
        <v>35</v>
      </c>
      <c r="W88" t="s">
        <v>31</v>
      </c>
      <c r="X88">
        <v>36</v>
      </c>
      <c r="Y88">
        <v>9</v>
      </c>
      <c r="Z88">
        <v>14</v>
      </c>
      <c r="AA88">
        <v>30</v>
      </c>
      <c r="AB88">
        <v>30993</v>
      </c>
    </row>
    <row r="89" spans="1:28" x14ac:dyDescent="0.3">
      <c r="A89" t="s">
        <v>220</v>
      </c>
      <c r="B89" t="s">
        <v>55</v>
      </c>
      <c r="C89" t="s">
        <v>45</v>
      </c>
      <c r="D89" s="1">
        <v>45683</v>
      </c>
      <c r="E89" s="1">
        <v>45692</v>
      </c>
      <c r="F89" s="16">
        <f t="shared" si="3"/>
        <v>9</v>
      </c>
      <c r="G89">
        <v>24190</v>
      </c>
      <c r="H89" t="s">
        <v>28</v>
      </c>
      <c r="I89">
        <v>139</v>
      </c>
      <c r="J89">
        <v>2</v>
      </c>
      <c r="K89">
        <v>2</v>
      </c>
      <c r="L89" s="11">
        <f t="shared" si="4"/>
        <v>1.4388489208633094E-2</v>
      </c>
      <c r="M89" t="s">
        <v>221</v>
      </c>
      <c r="N89">
        <v>67</v>
      </c>
      <c r="O89">
        <v>15030</v>
      </c>
      <c r="P89">
        <v>74</v>
      </c>
      <c r="Q89">
        <v>96</v>
      </c>
      <c r="R89" s="6">
        <f t="shared" si="5"/>
        <v>22</v>
      </c>
      <c r="S89">
        <v>1</v>
      </c>
      <c r="T89">
        <v>99</v>
      </c>
      <c r="U89">
        <v>60</v>
      </c>
      <c r="V89" t="s">
        <v>30</v>
      </c>
      <c r="W89" t="s">
        <v>43</v>
      </c>
      <c r="X89">
        <v>27</v>
      </c>
      <c r="Y89">
        <v>24</v>
      </c>
      <c r="Z89">
        <v>2</v>
      </c>
      <c r="AA89">
        <v>30</v>
      </c>
      <c r="AB89">
        <v>106851</v>
      </c>
    </row>
    <row r="90" spans="1:28" x14ac:dyDescent="0.3">
      <c r="A90" t="s">
        <v>222</v>
      </c>
      <c r="B90" t="s">
        <v>37</v>
      </c>
      <c r="C90" t="s">
        <v>51</v>
      </c>
      <c r="D90" s="1">
        <v>45468</v>
      </c>
      <c r="E90" s="1">
        <v>45508</v>
      </c>
      <c r="F90" s="16">
        <f t="shared" si="3"/>
        <v>40</v>
      </c>
      <c r="G90">
        <v>37775</v>
      </c>
      <c r="H90" t="s">
        <v>41</v>
      </c>
      <c r="I90">
        <v>166</v>
      </c>
      <c r="J90">
        <v>18</v>
      </c>
      <c r="K90">
        <v>13</v>
      </c>
      <c r="L90" s="11">
        <f t="shared" si="4"/>
        <v>7.8313253012048195E-2</v>
      </c>
      <c r="M90" t="s">
        <v>223</v>
      </c>
      <c r="N90">
        <v>77</v>
      </c>
      <c r="O90">
        <v>25305</v>
      </c>
      <c r="P90">
        <v>52</v>
      </c>
      <c r="Q90">
        <v>73</v>
      </c>
      <c r="R90" s="6">
        <f t="shared" si="5"/>
        <v>21</v>
      </c>
      <c r="S90">
        <v>5</v>
      </c>
      <c r="T90">
        <v>97</v>
      </c>
      <c r="U90">
        <v>99</v>
      </c>
      <c r="V90" t="s">
        <v>35</v>
      </c>
      <c r="W90" t="s">
        <v>43</v>
      </c>
      <c r="X90">
        <v>57</v>
      </c>
      <c r="Y90">
        <v>15</v>
      </c>
      <c r="Z90">
        <v>25</v>
      </c>
      <c r="AA90">
        <v>30</v>
      </c>
      <c r="AB90">
        <v>35714</v>
      </c>
    </row>
    <row r="91" spans="1:28" x14ac:dyDescent="0.3">
      <c r="A91" t="s">
        <v>224</v>
      </c>
      <c r="B91" t="s">
        <v>26</v>
      </c>
      <c r="C91" t="s">
        <v>45</v>
      </c>
      <c r="D91" s="1">
        <v>45702</v>
      </c>
      <c r="E91" s="1">
        <v>45725</v>
      </c>
      <c r="F91" s="16">
        <f t="shared" si="3"/>
        <v>23</v>
      </c>
      <c r="G91">
        <v>13032</v>
      </c>
      <c r="H91" t="s">
        <v>38</v>
      </c>
      <c r="I91">
        <v>187</v>
      </c>
      <c r="J91">
        <v>16</v>
      </c>
      <c r="K91">
        <v>6</v>
      </c>
      <c r="L91" s="11">
        <f t="shared" si="4"/>
        <v>3.2085561497326207E-2</v>
      </c>
      <c r="M91" t="s">
        <v>225</v>
      </c>
      <c r="N91">
        <v>35</v>
      </c>
      <c r="O91">
        <v>15834</v>
      </c>
      <c r="P91">
        <v>76</v>
      </c>
      <c r="Q91">
        <v>100</v>
      </c>
      <c r="R91" s="6">
        <f t="shared" si="5"/>
        <v>24</v>
      </c>
      <c r="S91">
        <v>4</v>
      </c>
      <c r="T91">
        <v>91</v>
      </c>
      <c r="U91">
        <v>58</v>
      </c>
      <c r="V91" t="s">
        <v>35</v>
      </c>
      <c r="W91" t="s">
        <v>31</v>
      </c>
      <c r="X91">
        <v>60</v>
      </c>
      <c r="Y91">
        <v>14</v>
      </c>
      <c r="Z91">
        <v>13</v>
      </c>
      <c r="AA91">
        <v>30</v>
      </c>
      <c r="AB91">
        <v>28736</v>
      </c>
    </row>
    <row r="92" spans="1:28" x14ac:dyDescent="0.3">
      <c r="A92" t="s">
        <v>226</v>
      </c>
      <c r="B92" t="s">
        <v>26</v>
      </c>
      <c r="C92" t="s">
        <v>51</v>
      </c>
      <c r="D92" s="1">
        <v>45517</v>
      </c>
      <c r="E92" s="1">
        <v>45576</v>
      </c>
      <c r="F92" s="16">
        <f t="shared" si="3"/>
        <v>59</v>
      </c>
      <c r="G92">
        <v>47060</v>
      </c>
      <c r="H92" t="s">
        <v>52</v>
      </c>
      <c r="I92">
        <v>92</v>
      </c>
      <c r="J92">
        <v>2</v>
      </c>
      <c r="K92">
        <v>2</v>
      </c>
      <c r="L92" s="11">
        <f t="shared" si="4"/>
        <v>2.1739130434782608E-2</v>
      </c>
      <c r="M92" t="s">
        <v>227</v>
      </c>
      <c r="N92">
        <v>34</v>
      </c>
      <c r="O92">
        <v>29132</v>
      </c>
      <c r="P92">
        <v>69</v>
      </c>
      <c r="Q92">
        <v>96</v>
      </c>
      <c r="R92" s="6">
        <f t="shared" si="5"/>
        <v>27</v>
      </c>
      <c r="S92">
        <v>2</v>
      </c>
      <c r="T92">
        <v>86</v>
      </c>
      <c r="U92">
        <v>95</v>
      </c>
      <c r="V92" t="s">
        <v>30</v>
      </c>
      <c r="W92" t="s">
        <v>31</v>
      </c>
      <c r="X92">
        <v>31</v>
      </c>
      <c r="Y92">
        <v>11</v>
      </c>
      <c r="Z92">
        <v>25</v>
      </c>
      <c r="AA92">
        <v>30</v>
      </c>
      <c r="AB92">
        <v>26720</v>
      </c>
    </row>
    <row r="93" spans="1:28" x14ac:dyDescent="0.3">
      <c r="A93" t="s">
        <v>228</v>
      </c>
      <c r="B93" t="s">
        <v>55</v>
      </c>
      <c r="C93" t="s">
        <v>48</v>
      </c>
      <c r="D93" s="1">
        <v>45294</v>
      </c>
      <c r="E93" s="1">
        <v>45342</v>
      </c>
      <c r="F93" s="16">
        <f t="shared" si="3"/>
        <v>48</v>
      </c>
      <c r="G93">
        <v>17622</v>
      </c>
      <c r="H93" t="s">
        <v>52</v>
      </c>
      <c r="I93">
        <v>193</v>
      </c>
      <c r="J93">
        <v>15</v>
      </c>
      <c r="K93">
        <v>11</v>
      </c>
      <c r="L93" s="11">
        <f t="shared" si="4"/>
        <v>5.6994818652849742E-2</v>
      </c>
      <c r="M93" t="s">
        <v>229</v>
      </c>
      <c r="N93">
        <v>47</v>
      </c>
      <c r="O93">
        <v>12436</v>
      </c>
      <c r="P93">
        <v>48</v>
      </c>
      <c r="Q93">
        <v>52</v>
      </c>
      <c r="R93" s="6">
        <f t="shared" si="5"/>
        <v>4</v>
      </c>
      <c r="S93">
        <v>5</v>
      </c>
      <c r="T93">
        <v>78</v>
      </c>
      <c r="U93">
        <v>90</v>
      </c>
      <c r="V93" t="s">
        <v>30</v>
      </c>
      <c r="W93" t="s">
        <v>43</v>
      </c>
      <c r="X93">
        <v>33</v>
      </c>
      <c r="Y93">
        <v>1</v>
      </c>
      <c r="Z93">
        <v>25</v>
      </c>
      <c r="AA93">
        <v>30</v>
      </c>
      <c r="AB93">
        <v>48028</v>
      </c>
    </row>
    <row r="94" spans="1:28" x14ac:dyDescent="0.3">
      <c r="A94" t="s">
        <v>230</v>
      </c>
      <c r="B94" t="s">
        <v>37</v>
      </c>
      <c r="C94" t="s">
        <v>27</v>
      </c>
      <c r="D94" s="1">
        <v>45388</v>
      </c>
      <c r="E94" s="1">
        <v>45435</v>
      </c>
      <c r="F94" s="16">
        <f t="shared" si="3"/>
        <v>47</v>
      </c>
      <c r="G94">
        <v>25318</v>
      </c>
      <c r="H94" t="s">
        <v>41</v>
      </c>
      <c r="I94">
        <v>190</v>
      </c>
      <c r="J94">
        <v>16</v>
      </c>
      <c r="K94">
        <v>15</v>
      </c>
      <c r="L94" s="11">
        <f t="shared" si="4"/>
        <v>7.8947368421052627E-2</v>
      </c>
      <c r="M94" t="s">
        <v>231</v>
      </c>
      <c r="N94">
        <v>67</v>
      </c>
      <c r="O94">
        <v>20659</v>
      </c>
      <c r="P94">
        <v>62</v>
      </c>
      <c r="Q94">
        <v>74</v>
      </c>
      <c r="R94" s="6">
        <f t="shared" si="5"/>
        <v>12</v>
      </c>
      <c r="S94">
        <v>3</v>
      </c>
      <c r="T94">
        <v>89</v>
      </c>
      <c r="U94">
        <v>74</v>
      </c>
      <c r="V94" t="s">
        <v>35</v>
      </c>
      <c r="W94" t="s">
        <v>43</v>
      </c>
      <c r="X94">
        <v>37</v>
      </c>
      <c r="Y94">
        <v>23</v>
      </c>
      <c r="Z94">
        <v>7</v>
      </c>
      <c r="AA94">
        <v>30</v>
      </c>
      <c r="AB94">
        <v>85669</v>
      </c>
    </row>
    <row r="95" spans="1:28" x14ac:dyDescent="0.3">
      <c r="A95" t="s">
        <v>232</v>
      </c>
      <c r="B95" t="s">
        <v>37</v>
      </c>
      <c r="C95" t="s">
        <v>86</v>
      </c>
      <c r="D95" s="1">
        <v>45411</v>
      </c>
      <c r="E95" s="1">
        <v>45434</v>
      </c>
      <c r="F95" s="16">
        <f t="shared" si="3"/>
        <v>23</v>
      </c>
      <c r="G95">
        <v>32281</v>
      </c>
      <c r="H95" t="s">
        <v>28</v>
      </c>
      <c r="I95">
        <v>145</v>
      </c>
      <c r="J95">
        <v>16</v>
      </c>
      <c r="K95">
        <v>1</v>
      </c>
      <c r="L95" s="11">
        <f t="shared" si="4"/>
        <v>6.8965517241379309E-3</v>
      </c>
      <c r="M95" t="s">
        <v>233</v>
      </c>
      <c r="N95">
        <v>9</v>
      </c>
      <c r="O95">
        <v>9131</v>
      </c>
      <c r="P95">
        <v>81</v>
      </c>
      <c r="Q95">
        <v>86</v>
      </c>
      <c r="R95" s="6">
        <f t="shared" si="5"/>
        <v>5</v>
      </c>
      <c r="S95">
        <v>3</v>
      </c>
      <c r="T95">
        <v>94</v>
      </c>
      <c r="U95">
        <v>55</v>
      </c>
      <c r="V95" t="s">
        <v>35</v>
      </c>
      <c r="W95" t="s">
        <v>43</v>
      </c>
      <c r="X95">
        <v>33</v>
      </c>
      <c r="Y95">
        <v>2</v>
      </c>
      <c r="Z95">
        <v>4</v>
      </c>
      <c r="AA95">
        <v>30</v>
      </c>
      <c r="AB95">
        <v>50232</v>
      </c>
    </row>
    <row r="96" spans="1:28" x14ac:dyDescent="0.3">
      <c r="A96" t="s">
        <v>234</v>
      </c>
      <c r="B96" t="s">
        <v>37</v>
      </c>
      <c r="C96" t="s">
        <v>48</v>
      </c>
      <c r="D96" s="1">
        <v>45745</v>
      </c>
      <c r="E96" s="1">
        <v>45759</v>
      </c>
      <c r="F96" s="16">
        <f t="shared" si="3"/>
        <v>14</v>
      </c>
      <c r="G96">
        <v>24004</v>
      </c>
      <c r="H96" t="s">
        <v>38</v>
      </c>
      <c r="I96">
        <v>159</v>
      </c>
      <c r="J96">
        <v>9</v>
      </c>
      <c r="K96">
        <v>7</v>
      </c>
      <c r="L96" s="11">
        <f t="shared" si="4"/>
        <v>4.40251572327044E-2</v>
      </c>
      <c r="M96" t="s">
        <v>235</v>
      </c>
      <c r="N96">
        <v>23</v>
      </c>
      <c r="O96">
        <v>5482</v>
      </c>
      <c r="P96">
        <v>53</v>
      </c>
      <c r="Q96">
        <v>58</v>
      </c>
      <c r="R96" s="6">
        <f t="shared" si="5"/>
        <v>5</v>
      </c>
      <c r="S96">
        <v>3</v>
      </c>
      <c r="T96">
        <v>78</v>
      </c>
      <c r="U96">
        <v>98</v>
      </c>
      <c r="V96" t="s">
        <v>35</v>
      </c>
      <c r="W96" t="s">
        <v>43</v>
      </c>
      <c r="X96">
        <v>52</v>
      </c>
      <c r="Y96">
        <v>11</v>
      </c>
      <c r="Z96">
        <v>14</v>
      </c>
      <c r="AA96">
        <v>30</v>
      </c>
      <c r="AB96">
        <v>88492</v>
      </c>
    </row>
    <row r="97" spans="1:28" x14ac:dyDescent="0.3">
      <c r="A97" t="s">
        <v>236</v>
      </c>
      <c r="B97" t="s">
        <v>55</v>
      </c>
      <c r="C97" t="s">
        <v>48</v>
      </c>
      <c r="D97" s="1">
        <v>45460</v>
      </c>
      <c r="E97" s="1">
        <v>45509</v>
      </c>
      <c r="F97" s="16">
        <f t="shared" si="3"/>
        <v>49</v>
      </c>
      <c r="G97">
        <v>17777</v>
      </c>
      <c r="H97" t="s">
        <v>52</v>
      </c>
      <c r="I97">
        <v>45</v>
      </c>
      <c r="J97">
        <v>15</v>
      </c>
      <c r="K97">
        <v>5</v>
      </c>
      <c r="L97" s="11">
        <f t="shared" si="4"/>
        <v>0.1111111111111111</v>
      </c>
      <c r="M97" t="s">
        <v>237</v>
      </c>
      <c r="N97">
        <v>54</v>
      </c>
      <c r="O97">
        <v>2969</v>
      </c>
      <c r="P97">
        <v>49</v>
      </c>
      <c r="Q97">
        <v>57</v>
      </c>
      <c r="R97" s="6">
        <f t="shared" si="5"/>
        <v>8</v>
      </c>
      <c r="S97">
        <v>1</v>
      </c>
      <c r="T97">
        <v>80</v>
      </c>
      <c r="U97">
        <v>90</v>
      </c>
      <c r="V97" t="s">
        <v>35</v>
      </c>
      <c r="W97" t="s">
        <v>43</v>
      </c>
      <c r="X97">
        <v>28</v>
      </c>
      <c r="Y97">
        <v>19</v>
      </c>
      <c r="Z97">
        <v>12</v>
      </c>
      <c r="AA97">
        <v>30</v>
      </c>
      <c r="AB97">
        <v>47268</v>
      </c>
    </row>
    <row r="98" spans="1:28" x14ac:dyDescent="0.3">
      <c r="A98" t="s">
        <v>238</v>
      </c>
      <c r="B98" t="s">
        <v>77</v>
      </c>
      <c r="C98" t="s">
        <v>86</v>
      </c>
      <c r="D98" s="1">
        <v>45713</v>
      </c>
      <c r="E98" s="1">
        <v>45747</v>
      </c>
      <c r="F98" s="16">
        <f t="shared" si="3"/>
        <v>34</v>
      </c>
      <c r="G98">
        <v>25740</v>
      </c>
      <c r="H98" t="s">
        <v>41</v>
      </c>
      <c r="I98">
        <v>39</v>
      </c>
      <c r="J98">
        <v>11</v>
      </c>
      <c r="K98">
        <v>10</v>
      </c>
      <c r="L98" s="11">
        <f t="shared" si="4"/>
        <v>0.25641025641025639</v>
      </c>
      <c r="M98" t="s">
        <v>239</v>
      </c>
      <c r="N98">
        <v>78</v>
      </c>
      <c r="O98">
        <v>16717</v>
      </c>
      <c r="P98">
        <v>61</v>
      </c>
      <c r="Q98">
        <v>72</v>
      </c>
      <c r="R98" s="6">
        <f t="shared" si="5"/>
        <v>11</v>
      </c>
      <c r="S98">
        <v>3</v>
      </c>
      <c r="T98">
        <v>97</v>
      </c>
      <c r="U98">
        <v>59</v>
      </c>
      <c r="V98" t="s">
        <v>35</v>
      </c>
      <c r="W98" t="s">
        <v>31</v>
      </c>
      <c r="X98">
        <v>46</v>
      </c>
      <c r="Y98">
        <v>14</v>
      </c>
      <c r="Z98">
        <v>24</v>
      </c>
      <c r="AA98">
        <v>30</v>
      </c>
      <c r="AB98">
        <v>97595</v>
      </c>
    </row>
    <row r="99" spans="1:28" x14ac:dyDescent="0.3">
      <c r="A99" t="s">
        <v>240</v>
      </c>
      <c r="B99" t="s">
        <v>77</v>
      </c>
      <c r="C99" t="s">
        <v>60</v>
      </c>
      <c r="D99" s="1">
        <v>45790</v>
      </c>
      <c r="E99" s="1">
        <v>45797</v>
      </c>
      <c r="F99" s="16">
        <f t="shared" si="3"/>
        <v>7</v>
      </c>
      <c r="G99">
        <v>8005</v>
      </c>
      <c r="H99" t="s">
        <v>28</v>
      </c>
      <c r="I99">
        <v>90</v>
      </c>
      <c r="J99">
        <v>17</v>
      </c>
      <c r="K99">
        <v>15</v>
      </c>
      <c r="L99" s="11">
        <f t="shared" si="4"/>
        <v>0.16666666666666666</v>
      </c>
      <c r="M99" t="s">
        <v>241</v>
      </c>
      <c r="N99">
        <v>28</v>
      </c>
      <c r="O99">
        <v>25145</v>
      </c>
      <c r="P99">
        <v>41</v>
      </c>
      <c r="Q99">
        <v>60</v>
      </c>
      <c r="R99" s="6">
        <f t="shared" si="5"/>
        <v>19</v>
      </c>
      <c r="S99">
        <v>5</v>
      </c>
      <c r="T99">
        <v>84</v>
      </c>
      <c r="U99">
        <v>58</v>
      </c>
      <c r="V99" t="s">
        <v>30</v>
      </c>
      <c r="W99" t="s">
        <v>43</v>
      </c>
      <c r="X99">
        <v>32</v>
      </c>
      <c r="Y99">
        <v>8</v>
      </c>
      <c r="Z99">
        <v>0</v>
      </c>
      <c r="AA99">
        <v>30</v>
      </c>
      <c r="AB99">
        <v>111236</v>
      </c>
    </row>
    <row r="100" spans="1:28" x14ac:dyDescent="0.3">
      <c r="A100" t="s">
        <v>242</v>
      </c>
      <c r="B100" t="s">
        <v>77</v>
      </c>
      <c r="C100" t="s">
        <v>48</v>
      </c>
      <c r="D100" s="1">
        <v>45651</v>
      </c>
      <c r="E100" s="1">
        <v>45699</v>
      </c>
      <c r="F100" s="16">
        <f t="shared" si="3"/>
        <v>48</v>
      </c>
      <c r="G100">
        <v>49583</v>
      </c>
      <c r="H100" t="s">
        <v>41</v>
      </c>
      <c r="I100">
        <v>125</v>
      </c>
      <c r="J100">
        <v>16</v>
      </c>
      <c r="K100">
        <v>2</v>
      </c>
      <c r="L100" s="11">
        <f t="shared" si="4"/>
        <v>1.6E-2</v>
      </c>
      <c r="M100" t="s">
        <v>243</v>
      </c>
      <c r="N100">
        <v>23</v>
      </c>
      <c r="O100">
        <v>12081</v>
      </c>
      <c r="P100">
        <v>41</v>
      </c>
      <c r="Q100">
        <v>54</v>
      </c>
      <c r="R100" s="6">
        <f t="shared" si="5"/>
        <v>13</v>
      </c>
      <c r="S100">
        <v>4</v>
      </c>
      <c r="T100">
        <v>84</v>
      </c>
      <c r="U100">
        <v>56</v>
      </c>
      <c r="V100" t="s">
        <v>35</v>
      </c>
      <c r="W100" t="s">
        <v>43</v>
      </c>
      <c r="X100">
        <v>31</v>
      </c>
      <c r="Y100">
        <v>15</v>
      </c>
      <c r="Z100">
        <v>1</v>
      </c>
      <c r="AA100">
        <v>30</v>
      </c>
      <c r="AB100">
        <v>44730</v>
      </c>
    </row>
    <row r="101" spans="1:28" x14ac:dyDescent="0.3">
      <c r="A101" t="s">
        <v>244</v>
      </c>
      <c r="B101" t="s">
        <v>77</v>
      </c>
      <c r="C101" t="s">
        <v>51</v>
      </c>
      <c r="D101" s="1">
        <v>45400</v>
      </c>
      <c r="E101" s="1">
        <v>45448</v>
      </c>
      <c r="F101" s="16">
        <f t="shared" si="3"/>
        <v>48</v>
      </c>
      <c r="G101">
        <v>9280</v>
      </c>
      <c r="H101" t="s">
        <v>33</v>
      </c>
      <c r="I101">
        <v>15</v>
      </c>
      <c r="J101">
        <v>5</v>
      </c>
      <c r="K101">
        <v>1</v>
      </c>
      <c r="L101" s="11">
        <f t="shared" si="4"/>
        <v>6.6666666666666666E-2</v>
      </c>
      <c r="M101" t="s">
        <v>245</v>
      </c>
      <c r="N101">
        <v>50</v>
      </c>
      <c r="O101">
        <v>3107</v>
      </c>
      <c r="P101">
        <v>56</v>
      </c>
      <c r="Q101">
        <v>84</v>
      </c>
      <c r="R101" s="6">
        <f t="shared" si="5"/>
        <v>28</v>
      </c>
      <c r="S101">
        <v>4</v>
      </c>
      <c r="T101">
        <v>96</v>
      </c>
      <c r="U101">
        <v>96</v>
      </c>
      <c r="V101" t="s">
        <v>35</v>
      </c>
      <c r="W101" t="s">
        <v>31</v>
      </c>
      <c r="X101">
        <v>46</v>
      </c>
      <c r="Y101">
        <v>2</v>
      </c>
      <c r="Z101">
        <v>5</v>
      </c>
      <c r="AA101">
        <v>30</v>
      </c>
      <c r="AB101">
        <v>96247</v>
      </c>
    </row>
    <row r="102" spans="1:28" x14ac:dyDescent="0.3">
      <c r="A102" t="s">
        <v>246</v>
      </c>
      <c r="B102" t="s">
        <v>55</v>
      </c>
      <c r="C102" t="s">
        <v>45</v>
      </c>
      <c r="D102" s="1">
        <v>45655</v>
      </c>
      <c r="E102" s="1">
        <v>45702</v>
      </c>
      <c r="F102" s="16">
        <f t="shared" si="3"/>
        <v>47</v>
      </c>
      <c r="G102">
        <v>40076</v>
      </c>
      <c r="H102" t="s">
        <v>38</v>
      </c>
      <c r="I102">
        <v>195</v>
      </c>
      <c r="J102">
        <v>19</v>
      </c>
      <c r="K102">
        <v>19</v>
      </c>
      <c r="L102" s="11">
        <f t="shared" si="4"/>
        <v>9.7435897435897437E-2</v>
      </c>
      <c r="M102" t="s">
        <v>247</v>
      </c>
      <c r="N102">
        <v>79</v>
      </c>
      <c r="O102">
        <v>9691</v>
      </c>
      <c r="P102">
        <v>77</v>
      </c>
      <c r="Q102">
        <v>100</v>
      </c>
      <c r="R102" s="6">
        <f t="shared" si="5"/>
        <v>23</v>
      </c>
      <c r="S102">
        <v>2</v>
      </c>
      <c r="T102">
        <v>83</v>
      </c>
      <c r="U102">
        <v>79</v>
      </c>
      <c r="V102" t="s">
        <v>35</v>
      </c>
      <c r="W102" t="s">
        <v>43</v>
      </c>
      <c r="X102">
        <v>60</v>
      </c>
      <c r="Y102">
        <v>17</v>
      </c>
      <c r="Z102">
        <v>16</v>
      </c>
      <c r="AA102">
        <v>30</v>
      </c>
      <c r="AB102">
        <v>73610</v>
      </c>
    </row>
    <row r="103" spans="1:28" x14ac:dyDescent="0.3">
      <c r="A103" t="s">
        <v>248</v>
      </c>
      <c r="B103" t="s">
        <v>26</v>
      </c>
      <c r="C103" t="s">
        <v>48</v>
      </c>
      <c r="D103" s="1">
        <v>45630</v>
      </c>
      <c r="E103" s="1">
        <v>45680</v>
      </c>
      <c r="F103" s="16">
        <f t="shared" si="3"/>
        <v>50</v>
      </c>
      <c r="G103">
        <v>8962</v>
      </c>
      <c r="H103" t="s">
        <v>28</v>
      </c>
      <c r="I103">
        <v>127</v>
      </c>
      <c r="J103">
        <v>14</v>
      </c>
      <c r="K103">
        <v>7</v>
      </c>
      <c r="L103" s="11">
        <f t="shared" si="4"/>
        <v>5.5118110236220472E-2</v>
      </c>
      <c r="M103" t="s">
        <v>249</v>
      </c>
      <c r="N103">
        <v>76</v>
      </c>
      <c r="O103">
        <v>11541</v>
      </c>
      <c r="P103">
        <v>78</v>
      </c>
      <c r="Q103">
        <v>92</v>
      </c>
      <c r="R103" s="6">
        <f t="shared" si="5"/>
        <v>14</v>
      </c>
      <c r="S103">
        <v>1</v>
      </c>
      <c r="T103">
        <v>98</v>
      </c>
      <c r="U103">
        <v>54</v>
      </c>
      <c r="V103" t="s">
        <v>35</v>
      </c>
      <c r="W103" t="s">
        <v>31</v>
      </c>
      <c r="X103">
        <v>41</v>
      </c>
      <c r="Y103">
        <v>21</v>
      </c>
      <c r="Z103">
        <v>18</v>
      </c>
      <c r="AA103">
        <v>30</v>
      </c>
      <c r="AB103">
        <v>105030</v>
      </c>
    </row>
    <row r="104" spans="1:28" x14ac:dyDescent="0.3">
      <c r="A104" t="s">
        <v>250</v>
      </c>
      <c r="B104" t="s">
        <v>26</v>
      </c>
      <c r="C104" t="s">
        <v>45</v>
      </c>
      <c r="D104" s="1">
        <v>45331</v>
      </c>
      <c r="E104" s="1">
        <v>45358</v>
      </c>
      <c r="F104" s="16">
        <f t="shared" si="3"/>
        <v>27</v>
      </c>
      <c r="G104">
        <v>21120</v>
      </c>
      <c r="H104" t="s">
        <v>41</v>
      </c>
      <c r="I104">
        <v>63</v>
      </c>
      <c r="J104">
        <v>13</v>
      </c>
      <c r="K104">
        <v>3</v>
      </c>
      <c r="L104" s="11">
        <f t="shared" si="4"/>
        <v>4.7619047619047616E-2</v>
      </c>
      <c r="M104" t="s">
        <v>251</v>
      </c>
      <c r="N104">
        <v>76</v>
      </c>
      <c r="O104">
        <v>17067</v>
      </c>
      <c r="P104">
        <v>83</v>
      </c>
      <c r="Q104">
        <v>100</v>
      </c>
      <c r="R104" s="6">
        <f t="shared" si="5"/>
        <v>17</v>
      </c>
      <c r="S104">
        <v>2</v>
      </c>
      <c r="T104">
        <v>98</v>
      </c>
      <c r="U104">
        <v>79</v>
      </c>
      <c r="V104" t="s">
        <v>35</v>
      </c>
      <c r="W104" t="s">
        <v>31</v>
      </c>
      <c r="X104">
        <v>53</v>
      </c>
      <c r="Y104">
        <v>0</v>
      </c>
      <c r="Z104">
        <v>3</v>
      </c>
      <c r="AA104">
        <v>30</v>
      </c>
      <c r="AB104">
        <v>48560</v>
      </c>
    </row>
    <row r="105" spans="1:28" x14ac:dyDescent="0.3">
      <c r="A105" t="s">
        <v>252</v>
      </c>
      <c r="B105" t="s">
        <v>55</v>
      </c>
      <c r="C105" t="s">
        <v>60</v>
      </c>
      <c r="D105" s="1">
        <v>45638</v>
      </c>
      <c r="E105" s="1">
        <v>45654</v>
      </c>
      <c r="F105" s="16">
        <f t="shared" si="3"/>
        <v>16</v>
      </c>
      <c r="G105">
        <v>31098</v>
      </c>
      <c r="H105" t="s">
        <v>38</v>
      </c>
      <c r="I105">
        <v>164</v>
      </c>
      <c r="J105">
        <v>6</v>
      </c>
      <c r="K105">
        <v>4</v>
      </c>
      <c r="L105" s="11">
        <f t="shared" si="4"/>
        <v>2.4390243902439025E-2</v>
      </c>
      <c r="M105" t="s">
        <v>253</v>
      </c>
      <c r="N105">
        <v>27</v>
      </c>
      <c r="O105">
        <v>20766</v>
      </c>
      <c r="P105">
        <v>85</v>
      </c>
      <c r="Q105">
        <v>100</v>
      </c>
      <c r="R105" s="6">
        <f t="shared" si="5"/>
        <v>15</v>
      </c>
      <c r="S105">
        <v>4</v>
      </c>
      <c r="T105">
        <v>93</v>
      </c>
      <c r="U105">
        <v>70</v>
      </c>
      <c r="V105" t="s">
        <v>30</v>
      </c>
      <c r="W105" t="s">
        <v>31</v>
      </c>
      <c r="X105">
        <v>23</v>
      </c>
      <c r="Y105">
        <v>22</v>
      </c>
      <c r="Z105">
        <v>17</v>
      </c>
      <c r="AA105">
        <v>30</v>
      </c>
      <c r="AB105">
        <v>67021</v>
      </c>
    </row>
    <row r="106" spans="1:28" x14ac:dyDescent="0.3">
      <c r="A106" t="s">
        <v>254</v>
      </c>
      <c r="B106" t="s">
        <v>37</v>
      </c>
      <c r="C106" t="s">
        <v>45</v>
      </c>
      <c r="D106" s="1">
        <v>45447</v>
      </c>
      <c r="E106" s="1">
        <v>45503</v>
      </c>
      <c r="F106" s="16">
        <f t="shared" si="3"/>
        <v>56</v>
      </c>
      <c r="G106">
        <v>47917</v>
      </c>
      <c r="H106" t="s">
        <v>52</v>
      </c>
      <c r="I106">
        <v>179</v>
      </c>
      <c r="J106">
        <v>13</v>
      </c>
      <c r="K106">
        <v>9</v>
      </c>
      <c r="L106" s="11">
        <f t="shared" si="4"/>
        <v>5.027932960893855E-2</v>
      </c>
      <c r="M106" t="s">
        <v>255</v>
      </c>
      <c r="N106">
        <v>25</v>
      </c>
      <c r="O106">
        <v>19577</v>
      </c>
      <c r="P106">
        <v>59</v>
      </c>
      <c r="Q106">
        <v>87</v>
      </c>
      <c r="R106" s="6">
        <f t="shared" si="5"/>
        <v>28</v>
      </c>
      <c r="S106">
        <v>4</v>
      </c>
      <c r="T106">
        <v>88</v>
      </c>
      <c r="U106">
        <v>54</v>
      </c>
      <c r="V106" t="s">
        <v>35</v>
      </c>
      <c r="W106" t="s">
        <v>43</v>
      </c>
      <c r="X106">
        <v>54</v>
      </c>
      <c r="Y106">
        <v>4</v>
      </c>
      <c r="Z106">
        <v>5</v>
      </c>
      <c r="AA106">
        <v>30</v>
      </c>
      <c r="AB106">
        <v>66314</v>
      </c>
    </row>
    <row r="107" spans="1:28" x14ac:dyDescent="0.3">
      <c r="A107" t="s">
        <v>256</v>
      </c>
      <c r="B107" t="s">
        <v>55</v>
      </c>
      <c r="C107" t="s">
        <v>86</v>
      </c>
      <c r="D107" s="1">
        <v>45334</v>
      </c>
      <c r="E107" s="1">
        <v>45347</v>
      </c>
      <c r="F107" s="16">
        <f t="shared" si="3"/>
        <v>13</v>
      </c>
      <c r="G107">
        <v>17819</v>
      </c>
      <c r="H107" t="s">
        <v>28</v>
      </c>
      <c r="I107">
        <v>90</v>
      </c>
      <c r="J107">
        <v>8</v>
      </c>
      <c r="K107">
        <v>2</v>
      </c>
      <c r="L107" s="11">
        <f t="shared" si="4"/>
        <v>2.2222222222222223E-2</v>
      </c>
      <c r="M107" t="s">
        <v>257</v>
      </c>
      <c r="N107">
        <v>5</v>
      </c>
      <c r="O107">
        <v>27239</v>
      </c>
      <c r="P107">
        <v>75</v>
      </c>
      <c r="Q107">
        <v>95</v>
      </c>
      <c r="R107" s="6">
        <f t="shared" si="5"/>
        <v>20</v>
      </c>
      <c r="S107">
        <v>3</v>
      </c>
      <c r="T107">
        <v>97</v>
      </c>
      <c r="U107">
        <v>60</v>
      </c>
      <c r="V107" t="s">
        <v>30</v>
      </c>
      <c r="W107" t="s">
        <v>31</v>
      </c>
      <c r="X107">
        <v>39</v>
      </c>
      <c r="Y107">
        <v>0</v>
      </c>
      <c r="Z107">
        <v>1</v>
      </c>
      <c r="AA107">
        <v>30</v>
      </c>
      <c r="AB107">
        <v>67145</v>
      </c>
    </row>
    <row r="108" spans="1:28" x14ac:dyDescent="0.3">
      <c r="A108" t="s">
        <v>258</v>
      </c>
      <c r="B108" t="s">
        <v>67</v>
      </c>
      <c r="C108" t="s">
        <v>60</v>
      </c>
      <c r="D108" s="1">
        <v>45556</v>
      </c>
      <c r="E108" s="1">
        <v>45611</v>
      </c>
      <c r="F108" s="16">
        <f t="shared" si="3"/>
        <v>55</v>
      </c>
      <c r="G108">
        <v>27917</v>
      </c>
      <c r="H108" t="s">
        <v>28</v>
      </c>
      <c r="I108">
        <v>188</v>
      </c>
      <c r="J108">
        <v>14</v>
      </c>
      <c r="K108">
        <v>13</v>
      </c>
      <c r="L108" s="11">
        <f t="shared" si="4"/>
        <v>6.9148936170212769E-2</v>
      </c>
      <c r="M108" t="s">
        <v>259</v>
      </c>
      <c r="N108">
        <v>32</v>
      </c>
      <c r="O108">
        <v>23120</v>
      </c>
      <c r="P108">
        <v>49</v>
      </c>
      <c r="Q108">
        <v>69</v>
      </c>
      <c r="R108" s="6">
        <f t="shared" si="5"/>
        <v>20</v>
      </c>
      <c r="S108">
        <v>5</v>
      </c>
      <c r="T108">
        <v>75</v>
      </c>
      <c r="U108">
        <v>52</v>
      </c>
      <c r="V108" t="s">
        <v>35</v>
      </c>
      <c r="W108" t="s">
        <v>43</v>
      </c>
      <c r="X108">
        <v>28</v>
      </c>
      <c r="Y108">
        <v>9</v>
      </c>
      <c r="Z108">
        <v>8</v>
      </c>
      <c r="AA108">
        <v>30</v>
      </c>
      <c r="AB108">
        <v>102091</v>
      </c>
    </row>
    <row r="109" spans="1:28" x14ac:dyDescent="0.3">
      <c r="A109" t="s">
        <v>260</v>
      </c>
      <c r="B109" t="s">
        <v>67</v>
      </c>
      <c r="C109" t="s">
        <v>51</v>
      </c>
      <c r="D109" s="1">
        <v>45615</v>
      </c>
      <c r="E109" s="1">
        <v>45640</v>
      </c>
      <c r="F109" s="16">
        <f t="shared" si="3"/>
        <v>25</v>
      </c>
      <c r="G109">
        <v>34130</v>
      </c>
      <c r="H109" t="s">
        <v>38</v>
      </c>
      <c r="I109">
        <v>150</v>
      </c>
      <c r="J109">
        <v>18</v>
      </c>
      <c r="K109">
        <v>13</v>
      </c>
      <c r="L109" s="11">
        <f t="shared" si="4"/>
        <v>8.666666666666667E-2</v>
      </c>
      <c r="M109" t="s">
        <v>261</v>
      </c>
      <c r="N109">
        <v>2</v>
      </c>
      <c r="O109">
        <v>19209</v>
      </c>
      <c r="P109">
        <v>49</v>
      </c>
      <c r="Q109">
        <v>65</v>
      </c>
      <c r="R109" s="6">
        <f t="shared" si="5"/>
        <v>16</v>
      </c>
      <c r="S109">
        <v>4</v>
      </c>
      <c r="T109">
        <v>77</v>
      </c>
      <c r="U109">
        <v>73</v>
      </c>
      <c r="V109" t="s">
        <v>30</v>
      </c>
      <c r="W109" t="s">
        <v>31</v>
      </c>
      <c r="X109">
        <v>34</v>
      </c>
      <c r="Y109">
        <v>16</v>
      </c>
      <c r="Z109">
        <v>17</v>
      </c>
      <c r="AA109">
        <v>30</v>
      </c>
      <c r="AB109">
        <v>47214</v>
      </c>
    </row>
    <row r="110" spans="1:28" x14ac:dyDescent="0.3">
      <c r="A110" t="s">
        <v>262</v>
      </c>
      <c r="B110" t="s">
        <v>67</v>
      </c>
      <c r="C110" t="s">
        <v>60</v>
      </c>
      <c r="D110" s="1">
        <v>45563</v>
      </c>
      <c r="E110" s="1">
        <v>45608</v>
      </c>
      <c r="F110" s="16">
        <f t="shared" si="3"/>
        <v>45</v>
      </c>
      <c r="G110">
        <v>34455</v>
      </c>
      <c r="H110" t="s">
        <v>41</v>
      </c>
      <c r="I110">
        <v>149</v>
      </c>
      <c r="J110">
        <v>5</v>
      </c>
      <c r="K110">
        <v>1</v>
      </c>
      <c r="L110" s="11">
        <f t="shared" si="4"/>
        <v>6.7114093959731542E-3</v>
      </c>
      <c r="M110" t="s">
        <v>263</v>
      </c>
      <c r="N110">
        <v>63</v>
      </c>
      <c r="O110">
        <v>22830</v>
      </c>
      <c r="P110">
        <v>81</v>
      </c>
      <c r="Q110">
        <v>100</v>
      </c>
      <c r="R110" s="6">
        <f t="shared" si="5"/>
        <v>19</v>
      </c>
      <c r="S110">
        <v>4</v>
      </c>
      <c r="T110">
        <v>92</v>
      </c>
      <c r="U110">
        <v>69</v>
      </c>
      <c r="V110" t="s">
        <v>35</v>
      </c>
      <c r="W110" t="s">
        <v>43</v>
      </c>
      <c r="X110">
        <v>52</v>
      </c>
      <c r="Y110">
        <v>15</v>
      </c>
      <c r="Z110">
        <v>25</v>
      </c>
      <c r="AA110">
        <v>30</v>
      </c>
      <c r="AB110">
        <v>97269</v>
      </c>
    </row>
    <row r="111" spans="1:28" x14ac:dyDescent="0.3">
      <c r="A111" t="s">
        <v>264</v>
      </c>
      <c r="B111" t="s">
        <v>77</v>
      </c>
      <c r="C111" t="s">
        <v>60</v>
      </c>
      <c r="D111" s="1">
        <v>45484</v>
      </c>
      <c r="E111" s="1">
        <v>45536</v>
      </c>
      <c r="F111" s="16">
        <f t="shared" si="3"/>
        <v>52</v>
      </c>
      <c r="G111">
        <v>32352</v>
      </c>
      <c r="H111" t="s">
        <v>52</v>
      </c>
      <c r="I111">
        <v>128</v>
      </c>
      <c r="J111">
        <v>13</v>
      </c>
      <c r="K111">
        <v>10</v>
      </c>
      <c r="L111" s="11">
        <f t="shared" si="4"/>
        <v>7.8125E-2</v>
      </c>
      <c r="M111" t="s">
        <v>265</v>
      </c>
      <c r="N111">
        <v>21</v>
      </c>
      <c r="O111">
        <v>18983</v>
      </c>
      <c r="P111">
        <v>54</v>
      </c>
      <c r="Q111">
        <v>83</v>
      </c>
      <c r="R111" s="6">
        <f t="shared" si="5"/>
        <v>29</v>
      </c>
      <c r="S111">
        <v>5</v>
      </c>
      <c r="T111">
        <v>93</v>
      </c>
      <c r="U111">
        <v>98</v>
      </c>
      <c r="V111" t="s">
        <v>35</v>
      </c>
      <c r="W111" t="s">
        <v>43</v>
      </c>
      <c r="X111">
        <v>25</v>
      </c>
      <c r="Y111">
        <v>25</v>
      </c>
      <c r="Z111">
        <v>22</v>
      </c>
      <c r="AA111">
        <v>30</v>
      </c>
      <c r="AB111">
        <v>28886</v>
      </c>
    </row>
    <row r="112" spans="1:28" x14ac:dyDescent="0.3">
      <c r="A112" t="s">
        <v>266</v>
      </c>
      <c r="B112" t="s">
        <v>72</v>
      </c>
      <c r="C112" t="s">
        <v>60</v>
      </c>
      <c r="D112" s="1">
        <v>45517</v>
      </c>
      <c r="E112" s="1">
        <v>45561</v>
      </c>
      <c r="F112" s="16">
        <f t="shared" si="3"/>
        <v>44</v>
      </c>
      <c r="G112">
        <v>12501</v>
      </c>
      <c r="H112" t="s">
        <v>41</v>
      </c>
      <c r="I112">
        <v>146</v>
      </c>
      <c r="J112">
        <v>3</v>
      </c>
      <c r="K112">
        <v>2</v>
      </c>
      <c r="L112" s="11">
        <f t="shared" si="4"/>
        <v>1.3698630136986301E-2</v>
      </c>
      <c r="M112" t="s">
        <v>267</v>
      </c>
      <c r="N112">
        <v>53</v>
      </c>
      <c r="O112">
        <v>24769</v>
      </c>
      <c r="P112">
        <v>64</v>
      </c>
      <c r="Q112">
        <v>92</v>
      </c>
      <c r="R112" s="6">
        <f t="shared" si="5"/>
        <v>28</v>
      </c>
      <c r="S112">
        <v>3</v>
      </c>
      <c r="T112">
        <v>100</v>
      </c>
      <c r="U112">
        <v>55</v>
      </c>
      <c r="V112" t="s">
        <v>30</v>
      </c>
      <c r="W112" t="s">
        <v>31</v>
      </c>
      <c r="X112">
        <v>46</v>
      </c>
      <c r="Y112">
        <v>23</v>
      </c>
      <c r="Z112">
        <v>17</v>
      </c>
      <c r="AA112">
        <v>30</v>
      </c>
      <c r="AB112">
        <v>80508</v>
      </c>
    </row>
    <row r="113" spans="1:28" x14ac:dyDescent="0.3">
      <c r="A113" t="s">
        <v>268</v>
      </c>
      <c r="B113" t="s">
        <v>77</v>
      </c>
      <c r="C113" t="s">
        <v>45</v>
      </c>
      <c r="D113" s="1">
        <v>45382</v>
      </c>
      <c r="E113" s="1">
        <v>45428</v>
      </c>
      <c r="F113" s="16">
        <f t="shared" si="3"/>
        <v>46</v>
      </c>
      <c r="G113">
        <v>23314</v>
      </c>
      <c r="H113" t="s">
        <v>41</v>
      </c>
      <c r="I113">
        <v>29</v>
      </c>
      <c r="J113">
        <v>4</v>
      </c>
      <c r="K113">
        <v>2</v>
      </c>
      <c r="L113" s="11">
        <f t="shared" si="4"/>
        <v>6.8965517241379309E-2</v>
      </c>
      <c r="M113" t="s">
        <v>269</v>
      </c>
      <c r="N113">
        <v>4</v>
      </c>
      <c r="O113">
        <v>1769</v>
      </c>
      <c r="P113">
        <v>77</v>
      </c>
      <c r="Q113">
        <v>100</v>
      </c>
      <c r="R113" s="6">
        <f t="shared" si="5"/>
        <v>23</v>
      </c>
      <c r="S113">
        <v>2</v>
      </c>
      <c r="T113">
        <v>90</v>
      </c>
      <c r="U113">
        <v>50</v>
      </c>
      <c r="V113" t="s">
        <v>30</v>
      </c>
      <c r="W113" t="s">
        <v>43</v>
      </c>
      <c r="X113">
        <v>23</v>
      </c>
      <c r="Y113">
        <v>19</v>
      </c>
      <c r="Z113">
        <v>3</v>
      </c>
      <c r="AA113">
        <v>30</v>
      </c>
      <c r="AB113">
        <v>94117</v>
      </c>
    </row>
    <row r="114" spans="1:28" x14ac:dyDescent="0.3">
      <c r="A114" t="s">
        <v>270</v>
      </c>
      <c r="B114" t="s">
        <v>37</v>
      </c>
      <c r="C114" t="s">
        <v>86</v>
      </c>
      <c r="D114" s="1">
        <v>45490</v>
      </c>
      <c r="E114" s="1">
        <v>45542</v>
      </c>
      <c r="F114" s="16">
        <f t="shared" si="3"/>
        <v>52</v>
      </c>
      <c r="G114">
        <v>15870</v>
      </c>
      <c r="H114" t="s">
        <v>38</v>
      </c>
      <c r="I114">
        <v>125</v>
      </c>
      <c r="J114">
        <v>11</v>
      </c>
      <c r="K114">
        <v>7</v>
      </c>
      <c r="L114" s="11">
        <f t="shared" si="4"/>
        <v>5.6000000000000001E-2</v>
      </c>
      <c r="M114" t="s">
        <v>271</v>
      </c>
      <c r="N114">
        <v>37</v>
      </c>
      <c r="O114">
        <v>11821</v>
      </c>
      <c r="P114">
        <v>54</v>
      </c>
      <c r="Q114">
        <v>78</v>
      </c>
      <c r="R114" s="6">
        <f t="shared" si="5"/>
        <v>24</v>
      </c>
      <c r="S114">
        <v>5</v>
      </c>
      <c r="T114">
        <v>82</v>
      </c>
      <c r="U114">
        <v>82</v>
      </c>
      <c r="V114" t="s">
        <v>35</v>
      </c>
      <c r="W114" t="s">
        <v>43</v>
      </c>
      <c r="X114">
        <v>39</v>
      </c>
      <c r="Y114">
        <v>24</v>
      </c>
      <c r="Z114">
        <v>0</v>
      </c>
      <c r="AA114">
        <v>30</v>
      </c>
      <c r="AB114">
        <v>58998</v>
      </c>
    </row>
    <row r="115" spans="1:28" x14ac:dyDescent="0.3">
      <c r="A115" t="s">
        <v>272</v>
      </c>
      <c r="B115" t="s">
        <v>55</v>
      </c>
      <c r="C115" t="s">
        <v>45</v>
      </c>
      <c r="D115" s="1">
        <v>45309</v>
      </c>
      <c r="E115" s="1">
        <v>45357</v>
      </c>
      <c r="F115" s="16">
        <f t="shared" si="3"/>
        <v>48</v>
      </c>
      <c r="G115">
        <v>8450</v>
      </c>
      <c r="H115" t="s">
        <v>33</v>
      </c>
      <c r="I115">
        <v>185</v>
      </c>
      <c r="J115">
        <v>5</v>
      </c>
      <c r="K115">
        <v>5</v>
      </c>
      <c r="L115" s="11">
        <f t="shared" si="4"/>
        <v>2.7027027027027029E-2</v>
      </c>
      <c r="M115" t="s">
        <v>273</v>
      </c>
      <c r="N115">
        <v>17</v>
      </c>
      <c r="O115">
        <v>13506</v>
      </c>
      <c r="P115">
        <v>54</v>
      </c>
      <c r="Q115">
        <v>64</v>
      </c>
      <c r="R115" s="6">
        <f t="shared" si="5"/>
        <v>10</v>
      </c>
      <c r="S115">
        <v>2</v>
      </c>
      <c r="T115">
        <v>99</v>
      </c>
      <c r="U115">
        <v>100</v>
      </c>
      <c r="V115" t="s">
        <v>35</v>
      </c>
      <c r="W115" t="s">
        <v>31</v>
      </c>
      <c r="X115">
        <v>55</v>
      </c>
      <c r="Y115">
        <v>21</v>
      </c>
      <c r="Z115">
        <v>19</v>
      </c>
      <c r="AA115">
        <v>30</v>
      </c>
      <c r="AB115">
        <v>87741</v>
      </c>
    </row>
    <row r="116" spans="1:28" x14ac:dyDescent="0.3">
      <c r="A116" t="s">
        <v>274</v>
      </c>
      <c r="B116" t="s">
        <v>72</v>
      </c>
      <c r="C116" t="s">
        <v>51</v>
      </c>
      <c r="D116" s="1">
        <v>45587</v>
      </c>
      <c r="E116" s="1">
        <v>45610</v>
      </c>
      <c r="F116" s="16">
        <f t="shared" si="3"/>
        <v>23</v>
      </c>
      <c r="G116">
        <v>45784</v>
      </c>
      <c r="H116" t="s">
        <v>28</v>
      </c>
      <c r="I116">
        <v>64</v>
      </c>
      <c r="J116">
        <v>11</v>
      </c>
      <c r="K116">
        <v>3</v>
      </c>
      <c r="L116" s="11">
        <f t="shared" si="4"/>
        <v>4.6875E-2</v>
      </c>
      <c r="M116" t="s">
        <v>275</v>
      </c>
      <c r="N116">
        <v>19</v>
      </c>
      <c r="O116">
        <v>13952</v>
      </c>
      <c r="P116">
        <v>44</v>
      </c>
      <c r="Q116">
        <v>51</v>
      </c>
      <c r="R116" s="6">
        <f t="shared" si="5"/>
        <v>7</v>
      </c>
      <c r="S116">
        <v>5</v>
      </c>
      <c r="T116">
        <v>100</v>
      </c>
      <c r="U116">
        <v>52</v>
      </c>
      <c r="V116" t="s">
        <v>35</v>
      </c>
      <c r="W116" t="s">
        <v>31</v>
      </c>
      <c r="X116">
        <v>54</v>
      </c>
      <c r="Y116">
        <v>0</v>
      </c>
      <c r="Z116">
        <v>2</v>
      </c>
      <c r="AA116">
        <v>30</v>
      </c>
      <c r="AB116">
        <v>106632</v>
      </c>
    </row>
    <row r="117" spans="1:28" x14ac:dyDescent="0.3">
      <c r="A117" t="s">
        <v>276</v>
      </c>
      <c r="B117" t="s">
        <v>26</v>
      </c>
      <c r="C117" t="s">
        <v>45</v>
      </c>
      <c r="D117" s="1">
        <v>45480</v>
      </c>
      <c r="E117" s="1">
        <v>45498</v>
      </c>
      <c r="F117" s="16">
        <f t="shared" si="3"/>
        <v>18</v>
      </c>
      <c r="G117">
        <v>44825</v>
      </c>
      <c r="H117" t="s">
        <v>52</v>
      </c>
      <c r="I117">
        <v>180</v>
      </c>
      <c r="J117">
        <v>3</v>
      </c>
      <c r="K117">
        <v>3</v>
      </c>
      <c r="L117" s="11">
        <f t="shared" si="4"/>
        <v>1.6666666666666666E-2</v>
      </c>
      <c r="M117" t="s">
        <v>277</v>
      </c>
      <c r="N117">
        <v>34</v>
      </c>
      <c r="O117">
        <v>14595</v>
      </c>
      <c r="P117">
        <v>77</v>
      </c>
      <c r="Q117">
        <v>86</v>
      </c>
      <c r="R117" s="6">
        <f t="shared" si="5"/>
        <v>9</v>
      </c>
      <c r="S117">
        <v>2</v>
      </c>
      <c r="T117">
        <v>90</v>
      </c>
      <c r="U117">
        <v>56</v>
      </c>
      <c r="V117" t="s">
        <v>35</v>
      </c>
      <c r="W117" t="s">
        <v>43</v>
      </c>
      <c r="X117">
        <v>54</v>
      </c>
      <c r="Y117">
        <v>3</v>
      </c>
      <c r="Z117">
        <v>5</v>
      </c>
      <c r="AA117">
        <v>30</v>
      </c>
      <c r="AB117">
        <v>108705</v>
      </c>
    </row>
    <row r="118" spans="1:28" x14ac:dyDescent="0.3">
      <c r="A118" t="s">
        <v>278</v>
      </c>
      <c r="B118" t="s">
        <v>55</v>
      </c>
      <c r="C118" t="s">
        <v>48</v>
      </c>
      <c r="D118" s="1">
        <v>45528</v>
      </c>
      <c r="E118" s="1">
        <v>45539</v>
      </c>
      <c r="F118" s="16">
        <f t="shared" si="3"/>
        <v>11</v>
      </c>
      <c r="G118">
        <v>48482</v>
      </c>
      <c r="H118" t="s">
        <v>33</v>
      </c>
      <c r="I118">
        <v>199</v>
      </c>
      <c r="J118">
        <v>4</v>
      </c>
      <c r="K118">
        <v>2</v>
      </c>
      <c r="L118" s="11">
        <f t="shared" si="4"/>
        <v>1.0050251256281407E-2</v>
      </c>
      <c r="M118" t="s">
        <v>279</v>
      </c>
      <c r="N118">
        <v>52</v>
      </c>
      <c r="O118">
        <v>18939</v>
      </c>
      <c r="P118">
        <v>82</v>
      </c>
      <c r="Q118">
        <v>100</v>
      </c>
      <c r="R118" s="6">
        <f t="shared" si="5"/>
        <v>18</v>
      </c>
      <c r="S118">
        <v>3</v>
      </c>
      <c r="T118">
        <v>78</v>
      </c>
      <c r="U118">
        <v>66</v>
      </c>
      <c r="V118" t="s">
        <v>35</v>
      </c>
      <c r="W118" t="s">
        <v>31</v>
      </c>
      <c r="X118">
        <v>34</v>
      </c>
      <c r="Y118">
        <v>17</v>
      </c>
      <c r="Z118">
        <v>21</v>
      </c>
      <c r="AA118">
        <v>30</v>
      </c>
      <c r="AB118">
        <v>26203</v>
      </c>
    </row>
    <row r="119" spans="1:28" x14ac:dyDescent="0.3">
      <c r="A119" t="s">
        <v>280</v>
      </c>
      <c r="B119" t="s">
        <v>55</v>
      </c>
      <c r="C119" t="s">
        <v>51</v>
      </c>
      <c r="D119" s="1">
        <v>45768</v>
      </c>
      <c r="E119" s="1">
        <v>45776</v>
      </c>
      <c r="F119" s="16">
        <f t="shared" si="3"/>
        <v>8</v>
      </c>
      <c r="G119">
        <v>14675</v>
      </c>
      <c r="H119" t="s">
        <v>52</v>
      </c>
      <c r="I119">
        <v>93</v>
      </c>
      <c r="J119">
        <v>12</v>
      </c>
      <c r="K119">
        <v>4</v>
      </c>
      <c r="L119" s="11">
        <f t="shared" si="4"/>
        <v>4.3010752688172046E-2</v>
      </c>
      <c r="M119" t="s">
        <v>281</v>
      </c>
      <c r="N119">
        <v>22</v>
      </c>
      <c r="O119">
        <v>11947</v>
      </c>
      <c r="P119">
        <v>43</v>
      </c>
      <c r="Q119">
        <v>55</v>
      </c>
      <c r="R119" s="6">
        <f t="shared" si="5"/>
        <v>12</v>
      </c>
      <c r="S119">
        <v>3</v>
      </c>
      <c r="T119">
        <v>95</v>
      </c>
      <c r="U119">
        <v>96</v>
      </c>
      <c r="V119" t="s">
        <v>35</v>
      </c>
      <c r="W119" t="s">
        <v>31</v>
      </c>
      <c r="X119">
        <v>31</v>
      </c>
      <c r="Y119">
        <v>6</v>
      </c>
      <c r="Z119">
        <v>10</v>
      </c>
      <c r="AA119">
        <v>30</v>
      </c>
      <c r="AB119">
        <v>95581</v>
      </c>
    </row>
    <row r="120" spans="1:28" x14ac:dyDescent="0.3">
      <c r="A120" t="s">
        <v>282</v>
      </c>
      <c r="B120" t="s">
        <v>67</v>
      </c>
      <c r="C120" t="s">
        <v>48</v>
      </c>
      <c r="D120" s="1">
        <v>45725</v>
      </c>
      <c r="E120" s="1">
        <v>45735</v>
      </c>
      <c r="F120" s="16">
        <f t="shared" si="3"/>
        <v>10</v>
      </c>
      <c r="G120">
        <v>29741</v>
      </c>
      <c r="H120" t="s">
        <v>52</v>
      </c>
      <c r="I120">
        <v>150</v>
      </c>
      <c r="J120">
        <v>10</v>
      </c>
      <c r="K120">
        <v>9</v>
      </c>
      <c r="L120" s="11">
        <f t="shared" si="4"/>
        <v>0.06</v>
      </c>
      <c r="M120" t="s">
        <v>283</v>
      </c>
      <c r="N120">
        <v>2</v>
      </c>
      <c r="O120">
        <v>23473</v>
      </c>
      <c r="P120">
        <v>67</v>
      </c>
      <c r="Q120">
        <v>95</v>
      </c>
      <c r="R120" s="6">
        <f t="shared" si="5"/>
        <v>28</v>
      </c>
      <c r="S120">
        <v>4</v>
      </c>
      <c r="T120">
        <v>92</v>
      </c>
      <c r="U120">
        <v>73</v>
      </c>
      <c r="V120" t="s">
        <v>35</v>
      </c>
      <c r="W120" t="s">
        <v>43</v>
      </c>
      <c r="X120">
        <v>36</v>
      </c>
      <c r="Y120">
        <v>11</v>
      </c>
      <c r="Z120">
        <v>21</v>
      </c>
      <c r="AA120">
        <v>30</v>
      </c>
      <c r="AB120">
        <v>78121</v>
      </c>
    </row>
    <row r="121" spans="1:28" x14ac:dyDescent="0.3">
      <c r="A121" t="s">
        <v>284</v>
      </c>
      <c r="B121" t="s">
        <v>67</v>
      </c>
      <c r="C121" t="s">
        <v>60</v>
      </c>
      <c r="D121" s="1">
        <v>45297</v>
      </c>
      <c r="E121" s="1">
        <v>45328</v>
      </c>
      <c r="F121" s="16">
        <f t="shared" si="3"/>
        <v>31</v>
      </c>
      <c r="G121">
        <v>37956</v>
      </c>
      <c r="H121" t="s">
        <v>41</v>
      </c>
      <c r="I121">
        <v>27</v>
      </c>
      <c r="J121">
        <v>17</v>
      </c>
      <c r="K121">
        <v>11</v>
      </c>
      <c r="L121" s="11">
        <f t="shared" si="4"/>
        <v>0.40740740740740738</v>
      </c>
      <c r="M121" t="s">
        <v>285</v>
      </c>
      <c r="N121">
        <v>47</v>
      </c>
      <c r="O121">
        <v>4482</v>
      </c>
      <c r="P121">
        <v>69</v>
      </c>
      <c r="Q121">
        <v>96</v>
      </c>
      <c r="R121" s="6">
        <f t="shared" si="5"/>
        <v>27</v>
      </c>
      <c r="S121">
        <v>3</v>
      </c>
      <c r="T121">
        <v>92</v>
      </c>
      <c r="U121">
        <v>53</v>
      </c>
      <c r="V121" t="s">
        <v>35</v>
      </c>
      <c r="W121" t="s">
        <v>31</v>
      </c>
      <c r="X121">
        <v>52</v>
      </c>
      <c r="Y121">
        <v>5</v>
      </c>
      <c r="Z121">
        <v>17</v>
      </c>
      <c r="AA121">
        <v>30</v>
      </c>
      <c r="AB121">
        <v>35287</v>
      </c>
    </row>
    <row r="122" spans="1:28" x14ac:dyDescent="0.3">
      <c r="A122" t="s">
        <v>286</v>
      </c>
      <c r="B122" t="s">
        <v>77</v>
      </c>
      <c r="C122" t="s">
        <v>60</v>
      </c>
      <c r="D122" s="1">
        <v>45423</v>
      </c>
      <c r="E122" s="1">
        <v>45472</v>
      </c>
      <c r="F122" s="16">
        <f t="shared" si="3"/>
        <v>49</v>
      </c>
      <c r="G122">
        <v>40810</v>
      </c>
      <c r="H122" t="s">
        <v>38</v>
      </c>
      <c r="I122">
        <v>60</v>
      </c>
      <c r="J122">
        <v>2</v>
      </c>
      <c r="K122">
        <v>1</v>
      </c>
      <c r="L122" s="11">
        <f t="shared" si="4"/>
        <v>1.6666666666666666E-2</v>
      </c>
      <c r="M122" t="s">
        <v>287</v>
      </c>
      <c r="N122">
        <v>79</v>
      </c>
      <c r="O122">
        <v>15894</v>
      </c>
      <c r="P122">
        <v>85</v>
      </c>
      <c r="Q122">
        <v>96</v>
      </c>
      <c r="R122" s="6">
        <f t="shared" si="5"/>
        <v>11</v>
      </c>
      <c r="S122">
        <v>1</v>
      </c>
      <c r="T122">
        <v>95</v>
      </c>
      <c r="U122">
        <v>68</v>
      </c>
      <c r="V122" t="s">
        <v>30</v>
      </c>
      <c r="W122" t="s">
        <v>31</v>
      </c>
      <c r="X122">
        <v>50</v>
      </c>
      <c r="Y122">
        <v>7</v>
      </c>
      <c r="Z122">
        <v>16</v>
      </c>
      <c r="AA122">
        <v>30</v>
      </c>
      <c r="AB122">
        <v>86446</v>
      </c>
    </row>
    <row r="123" spans="1:28" x14ac:dyDescent="0.3">
      <c r="A123" t="s">
        <v>288</v>
      </c>
      <c r="B123" t="s">
        <v>55</v>
      </c>
      <c r="C123" t="s">
        <v>51</v>
      </c>
      <c r="D123" s="1">
        <v>45312</v>
      </c>
      <c r="E123" s="1">
        <v>45369</v>
      </c>
      <c r="F123" s="16">
        <f t="shared" si="3"/>
        <v>57</v>
      </c>
      <c r="G123">
        <v>34901</v>
      </c>
      <c r="H123" t="s">
        <v>38</v>
      </c>
      <c r="I123">
        <v>33</v>
      </c>
      <c r="J123">
        <v>7</v>
      </c>
      <c r="K123">
        <v>4</v>
      </c>
      <c r="L123" s="11">
        <f t="shared" si="4"/>
        <v>0.12121212121212122</v>
      </c>
      <c r="M123" t="s">
        <v>289</v>
      </c>
      <c r="N123">
        <v>19</v>
      </c>
      <c r="O123">
        <v>7296</v>
      </c>
      <c r="P123">
        <v>50</v>
      </c>
      <c r="Q123">
        <v>73</v>
      </c>
      <c r="R123" s="6">
        <f t="shared" si="5"/>
        <v>23</v>
      </c>
      <c r="S123">
        <v>5</v>
      </c>
      <c r="T123">
        <v>79</v>
      </c>
      <c r="U123">
        <v>61</v>
      </c>
      <c r="V123" t="s">
        <v>35</v>
      </c>
      <c r="W123" t="s">
        <v>31</v>
      </c>
      <c r="X123">
        <v>48</v>
      </c>
      <c r="Y123">
        <v>18</v>
      </c>
      <c r="Z123">
        <v>21</v>
      </c>
      <c r="AA123">
        <v>30</v>
      </c>
      <c r="AB123">
        <v>39482</v>
      </c>
    </row>
    <row r="124" spans="1:28" x14ac:dyDescent="0.3">
      <c r="A124" t="s">
        <v>290</v>
      </c>
      <c r="B124" t="s">
        <v>37</v>
      </c>
      <c r="C124" t="s">
        <v>51</v>
      </c>
      <c r="D124" s="1">
        <v>45487</v>
      </c>
      <c r="E124" s="1">
        <v>45541</v>
      </c>
      <c r="F124" s="16">
        <f t="shared" si="3"/>
        <v>54</v>
      </c>
      <c r="G124">
        <v>46212</v>
      </c>
      <c r="H124" t="s">
        <v>33</v>
      </c>
      <c r="I124">
        <v>64</v>
      </c>
      <c r="J124">
        <v>8</v>
      </c>
      <c r="K124">
        <v>2</v>
      </c>
      <c r="L124" s="11">
        <f t="shared" si="4"/>
        <v>3.125E-2</v>
      </c>
      <c r="M124" t="s">
        <v>291</v>
      </c>
      <c r="N124">
        <v>51</v>
      </c>
      <c r="O124">
        <v>1619</v>
      </c>
      <c r="P124">
        <v>68</v>
      </c>
      <c r="Q124">
        <v>86</v>
      </c>
      <c r="R124" s="6">
        <f t="shared" si="5"/>
        <v>18</v>
      </c>
      <c r="S124">
        <v>5</v>
      </c>
      <c r="T124">
        <v>90</v>
      </c>
      <c r="U124">
        <v>100</v>
      </c>
      <c r="V124" t="s">
        <v>35</v>
      </c>
      <c r="W124" t="s">
        <v>31</v>
      </c>
      <c r="X124">
        <v>60</v>
      </c>
      <c r="Y124">
        <v>9</v>
      </c>
      <c r="Z124">
        <v>21</v>
      </c>
      <c r="AA124">
        <v>30</v>
      </c>
      <c r="AB124">
        <v>109364</v>
      </c>
    </row>
    <row r="125" spans="1:28" x14ac:dyDescent="0.3">
      <c r="A125" t="s">
        <v>292</v>
      </c>
      <c r="B125" t="s">
        <v>55</v>
      </c>
      <c r="C125" t="s">
        <v>51</v>
      </c>
      <c r="D125" s="1">
        <v>45318</v>
      </c>
      <c r="E125" s="1">
        <v>45362</v>
      </c>
      <c r="F125" s="16">
        <f t="shared" si="3"/>
        <v>44</v>
      </c>
      <c r="G125">
        <v>10055</v>
      </c>
      <c r="H125" t="s">
        <v>38</v>
      </c>
      <c r="I125">
        <v>40</v>
      </c>
      <c r="J125">
        <v>17</v>
      </c>
      <c r="K125">
        <v>13</v>
      </c>
      <c r="L125" s="11">
        <f t="shared" si="4"/>
        <v>0.32500000000000001</v>
      </c>
      <c r="M125" t="s">
        <v>293</v>
      </c>
      <c r="N125">
        <v>17</v>
      </c>
      <c r="O125">
        <v>24264</v>
      </c>
      <c r="P125">
        <v>79</v>
      </c>
      <c r="Q125">
        <v>100</v>
      </c>
      <c r="R125" s="6">
        <f t="shared" si="5"/>
        <v>21</v>
      </c>
      <c r="S125">
        <v>4</v>
      </c>
      <c r="T125">
        <v>76</v>
      </c>
      <c r="U125">
        <v>98</v>
      </c>
      <c r="V125" t="s">
        <v>30</v>
      </c>
      <c r="W125" t="s">
        <v>31</v>
      </c>
      <c r="X125">
        <v>36</v>
      </c>
      <c r="Y125">
        <v>1</v>
      </c>
      <c r="Z125">
        <v>19</v>
      </c>
      <c r="AA125">
        <v>30</v>
      </c>
      <c r="AB125">
        <v>35710</v>
      </c>
    </row>
    <row r="126" spans="1:28" x14ac:dyDescent="0.3">
      <c r="A126" t="s">
        <v>294</v>
      </c>
      <c r="B126" t="s">
        <v>55</v>
      </c>
      <c r="C126" t="s">
        <v>27</v>
      </c>
      <c r="D126" s="1">
        <v>45536</v>
      </c>
      <c r="E126" s="1">
        <v>45575</v>
      </c>
      <c r="F126" s="16">
        <f t="shared" si="3"/>
        <v>39</v>
      </c>
      <c r="G126">
        <v>8643</v>
      </c>
      <c r="H126" t="s">
        <v>28</v>
      </c>
      <c r="I126">
        <v>189</v>
      </c>
      <c r="J126">
        <v>8</v>
      </c>
      <c r="K126">
        <v>2</v>
      </c>
      <c r="L126" s="11">
        <f t="shared" si="4"/>
        <v>1.0582010582010581E-2</v>
      </c>
      <c r="M126" t="s">
        <v>295</v>
      </c>
      <c r="N126">
        <v>51</v>
      </c>
      <c r="O126">
        <v>27772</v>
      </c>
      <c r="P126">
        <v>55</v>
      </c>
      <c r="Q126">
        <v>70</v>
      </c>
      <c r="R126" s="6">
        <f t="shared" si="5"/>
        <v>15</v>
      </c>
      <c r="S126">
        <v>3</v>
      </c>
      <c r="T126">
        <v>76</v>
      </c>
      <c r="U126">
        <v>90</v>
      </c>
      <c r="V126" t="s">
        <v>35</v>
      </c>
      <c r="W126" t="s">
        <v>31</v>
      </c>
      <c r="X126">
        <v>47</v>
      </c>
      <c r="Y126">
        <v>3</v>
      </c>
      <c r="Z126">
        <v>4</v>
      </c>
      <c r="AA126">
        <v>30</v>
      </c>
      <c r="AB126">
        <v>113977</v>
      </c>
    </row>
    <row r="127" spans="1:28" x14ac:dyDescent="0.3">
      <c r="A127" t="s">
        <v>296</v>
      </c>
      <c r="B127" t="s">
        <v>55</v>
      </c>
      <c r="C127" t="s">
        <v>27</v>
      </c>
      <c r="D127" s="1">
        <v>45299</v>
      </c>
      <c r="E127" s="1">
        <v>45306</v>
      </c>
      <c r="F127" s="16">
        <f t="shared" si="3"/>
        <v>7</v>
      </c>
      <c r="G127">
        <v>25664</v>
      </c>
      <c r="H127" t="s">
        <v>28</v>
      </c>
      <c r="I127">
        <v>89</v>
      </c>
      <c r="J127">
        <v>18</v>
      </c>
      <c r="K127">
        <v>5</v>
      </c>
      <c r="L127" s="11">
        <f t="shared" si="4"/>
        <v>5.6179775280898875E-2</v>
      </c>
      <c r="M127" t="s">
        <v>297</v>
      </c>
      <c r="N127">
        <v>57</v>
      </c>
      <c r="O127">
        <v>25668</v>
      </c>
      <c r="P127">
        <v>56</v>
      </c>
      <c r="Q127">
        <v>77</v>
      </c>
      <c r="R127" s="6">
        <f t="shared" si="5"/>
        <v>21</v>
      </c>
      <c r="S127">
        <v>4</v>
      </c>
      <c r="T127">
        <v>83</v>
      </c>
      <c r="U127">
        <v>68</v>
      </c>
      <c r="V127" t="s">
        <v>35</v>
      </c>
      <c r="W127" t="s">
        <v>31</v>
      </c>
      <c r="X127">
        <v>53</v>
      </c>
      <c r="Y127">
        <v>13</v>
      </c>
      <c r="Z127">
        <v>8</v>
      </c>
      <c r="AA127">
        <v>30</v>
      </c>
      <c r="AB127">
        <v>38258</v>
      </c>
    </row>
    <row r="128" spans="1:28" x14ac:dyDescent="0.3">
      <c r="A128" t="s">
        <v>298</v>
      </c>
      <c r="B128" t="s">
        <v>67</v>
      </c>
      <c r="C128" t="s">
        <v>86</v>
      </c>
      <c r="D128" s="1">
        <v>45769</v>
      </c>
      <c r="E128" s="1">
        <v>45781</v>
      </c>
      <c r="F128" s="16">
        <f t="shared" si="3"/>
        <v>12</v>
      </c>
      <c r="G128">
        <v>17749</v>
      </c>
      <c r="H128" t="s">
        <v>33</v>
      </c>
      <c r="I128">
        <v>141</v>
      </c>
      <c r="J128">
        <v>13</v>
      </c>
      <c r="K128">
        <v>8</v>
      </c>
      <c r="L128" s="11">
        <f t="shared" si="4"/>
        <v>5.6737588652482268E-2</v>
      </c>
      <c r="M128" t="s">
        <v>299</v>
      </c>
      <c r="N128">
        <v>10</v>
      </c>
      <c r="O128">
        <v>24185</v>
      </c>
      <c r="P128">
        <v>58</v>
      </c>
      <c r="Q128">
        <v>72</v>
      </c>
      <c r="R128" s="6">
        <f t="shared" si="5"/>
        <v>14</v>
      </c>
      <c r="S128">
        <v>5</v>
      </c>
      <c r="T128">
        <v>99</v>
      </c>
      <c r="U128">
        <v>96</v>
      </c>
      <c r="V128" t="s">
        <v>30</v>
      </c>
      <c r="W128" t="s">
        <v>31</v>
      </c>
      <c r="X128">
        <v>37</v>
      </c>
      <c r="Y128">
        <v>24</v>
      </c>
      <c r="Z128">
        <v>5</v>
      </c>
      <c r="AA128">
        <v>30</v>
      </c>
      <c r="AB128">
        <v>30735</v>
      </c>
    </row>
    <row r="129" spans="1:28" x14ac:dyDescent="0.3">
      <c r="A129" t="s">
        <v>300</v>
      </c>
      <c r="B129" t="s">
        <v>55</v>
      </c>
      <c r="C129" t="s">
        <v>51</v>
      </c>
      <c r="D129" s="1">
        <v>45350</v>
      </c>
      <c r="E129" s="1">
        <v>45388</v>
      </c>
      <c r="F129" s="16">
        <f t="shared" si="3"/>
        <v>38</v>
      </c>
      <c r="G129">
        <v>10031</v>
      </c>
      <c r="H129" t="s">
        <v>41</v>
      </c>
      <c r="I129">
        <v>24</v>
      </c>
      <c r="J129">
        <v>16</v>
      </c>
      <c r="K129">
        <v>12</v>
      </c>
      <c r="L129" s="11">
        <f t="shared" si="4"/>
        <v>0.5</v>
      </c>
      <c r="M129" t="s">
        <v>301</v>
      </c>
      <c r="N129">
        <v>48</v>
      </c>
      <c r="O129">
        <v>23227</v>
      </c>
      <c r="P129">
        <v>50</v>
      </c>
      <c r="Q129">
        <v>77</v>
      </c>
      <c r="R129" s="6">
        <f t="shared" si="5"/>
        <v>27</v>
      </c>
      <c r="S129">
        <v>4</v>
      </c>
      <c r="T129">
        <v>94</v>
      </c>
      <c r="U129">
        <v>98</v>
      </c>
      <c r="V129" t="s">
        <v>35</v>
      </c>
      <c r="W129" t="s">
        <v>43</v>
      </c>
      <c r="X129">
        <v>32</v>
      </c>
      <c r="Y129">
        <v>4</v>
      </c>
      <c r="Z129">
        <v>22</v>
      </c>
      <c r="AA129">
        <v>30</v>
      </c>
      <c r="AB129">
        <v>57194</v>
      </c>
    </row>
    <row r="130" spans="1:28" x14ac:dyDescent="0.3">
      <c r="A130" t="s">
        <v>302</v>
      </c>
      <c r="B130" t="s">
        <v>72</v>
      </c>
      <c r="C130" t="s">
        <v>51</v>
      </c>
      <c r="D130" s="1">
        <v>45762</v>
      </c>
      <c r="E130" s="1">
        <v>45821</v>
      </c>
      <c r="F130" s="16">
        <f t="shared" si="3"/>
        <v>59</v>
      </c>
      <c r="G130">
        <v>9370</v>
      </c>
      <c r="H130" t="s">
        <v>52</v>
      </c>
      <c r="I130">
        <v>30</v>
      </c>
      <c r="J130">
        <v>11</v>
      </c>
      <c r="K130">
        <v>1</v>
      </c>
      <c r="L130" s="11">
        <f t="shared" si="4"/>
        <v>3.3333333333333333E-2</v>
      </c>
      <c r="M130" t="s">
        <v>303</v>
      </c>
      <c r="N130">
        <v>33</v>
      </c>
      <c r="O130">
        <v>8030</v>
      </c>
      <c r="P130">
        <v>53</v>
      </c>
      <c r="Q130">
        <v>76</v>
      </c>
      <c r="R130" s="6">
        <f t="shared" si="5"/>
        <v>23</v>
      </c>
      <c r="S130">
        <v>3</v>
      </c>
      <c r="T130">
        <v>88</v>
      </c>
      <c r="U130">
        <v>99</v>
      </c>
      <c r="V130" t="s">
        <v>30</v>
      </c>
      <c r="W130" t="s">
        <v>31</v>
      </c>
      <c r="X130">
        <v>48</v>
      </c>
      <c r="Y130">
        <v>4</v>
      </c>
      <c r="Z130">
        <v>8</v>
      </c>
      <c r="AA130">
        <v>30</v>
      </c>
      <c r="AB130">
        <v>46225</v>
      </c>
    </row>
    <row r="131" spans="1:28" x14ac:dyDescent="0.3">
      <c r="A131" t="s">
        <v>304</v>
      </c>
      <c r="B131" t="s">
        <v>26</v>
      </c>
      <c r="C131" t="s">
        <v>48</v>
      </c>
      <c r="D131" s="1">
        <v>45632</v>
      </c>
      <c r="E131" s="1">
        <v>45673</v>
      </c>
      <c r="F131" s="16">
        <f t="shared" ref="F131:F194" si="6">E131-D131</f>
        <v>41</v>
      </c>
      <c r="G131">
        <v>42289</v>
      </c>
      <c r="H131" t="s">
        <v>38</v>
      </c>
      <c r="I131">
        <v>140</v>
      </c>
      <c r="J131">
        <v>6</v>
      </c>
      <c r="K131">
        <v>6</v>
      </c>
      <c r="L131" s="11">
        <f t="shared" ref="L131:L194" si="7">K131/I131</f>
        <v>4.2857142857142858E-2</v>
      </c>
      <c r="M131" t="s">
        <v>305</v>
      </c>
      <c r="N131">
        <v>56</v>
      </c>
      <c r="O131">
        <v>6727</v>
      </c>
      <c r="P131">
        <v>63</v>
      </c>
      <c r="Q131">
        <v>63</v>
      </c>
      <c r="R131" s="6">
        <f t="shared" ref="R131:R194" si="8">Q131-P131</f>
        <v>0</v>
      </c>
      <c r="S131">
        <v>5</v>
      </c>
      <c r="T131">
        <v>83</v>
      </c>
      <c r="U131">
        <v>84</v>
      </c>
      <c r="V131" t="s">
        <v>35</v>
      </c>
      <c r="W131" t="s">
        <v>43</v>
      </c>
      <c r="X131">
        <v>26</v>
      </c>
      <c r="Y131">
        <v>21</v>
      </c>
      <c r="Z131">
        <v>18</v>
      </c>
      <c r="AA131">
        <v>30</v>
      </c>
      <c r="AB131">
        <v>100919</v>
      </c>
    </row>
    <row r="132" spans="1:28" x14ac:dyDescent="0.3">
      <c r="A132" t="s">
        <v>306</v>
      </c>
      <c r="B132" t="s">
        <v>72</v>
      </c>
      <c r="C132" t="s">
        <v>48</v>
      </c>
      <c r="D132" s="1">
        <v>45578</v>
      </c>
      <c r="E132" s="1">
        <v>45590</v>
      </c>
      <c r="F132" s="16">
        <f t="shared" si="6"/>
        <v>12</v>
      </c>
      <c r="G132">
        <v>27538</v>
      </c>
      <c r="H132" t="s">
        <v>28</v>
      </c>
      <c r="I132">
        <v>126</v>
      </c>
      <c r="J132">
        <v>1</v>
      </c>
      <c r="K132">
        <v>1</v>
      </c>
      <c r="L132" s="11">
        <f t="shared" si="7"/>
        <v>7.9365079365079361E-3</v>
      </c>
      <c r="M132" t="s">
        <v>307</v>
      </c>
      <c r="N132">
        <v>16</v>
      </c>
      <c r="O132">
        <v>12874</v>
      </c>
      <c r="P132">
        <v>44</v>
      </c>
      <c r="Q132">
        <v>47</v>
      </c>
      <c r="R132" s="6">
        <f t="shared" si="8"/>
        <v>3</v>
      </c>
      <c r="S132">
        <v>2</v>
      </c>
      <c r="T132">
        <v>78</v>
      </c>
      <c r="U132">
        <v>67</v>
      </c>
      <c r="V132" t="s">
        <v>35</v>
      </c>
      <c r="W132" t="s">
        <v>31</v>
      </c>
      <c r="X132">
        <v>22</v>
      </c>
      <c r="Y132">
        <v>20</v>
      </c>
      <c r="Z132">
        <v>22</v>
      </c>
      <c r="AA132">
        <v>30</v>
      </c>
      <c r="AB132">
        <v>64546</v>
      </c>
    </row>
    <row r="133" spans="1:28" x14ac:dyDescent="0.3">
      <c r="A133" t="s">
        <v>308</v>
      </c>
      <c r="B133" t="s">
        <v>37</v>
      </c>
      <c r="C133" t="s">
        <v>45</v>
      </c>
      <c r="D133" s="1">
        <v>45665</v>
      </c>
      <c r="E133" s="1">
        <v>45713</v>
      </c>
      <c r="F133" s="16">
        <f t="shared" si="6"/>
        <v>48</v>
      </c>
      <c r="G133">
        <v>46771</v>
      </c>
      <c r="H133" t="s">
        <v>38</v>
      </c>
      <c r="I133">
        <v>99</v>
      </c>
      <c r="J133">
        <v>5</v>
      </c>
      <c r="K133">
        <v>1</v>
      </c>
      <c r="L133" s="11">
        <f t="shared" si="7"/>
        <v>1.0101010101010102E-2</v>
      </c>
      <c r="M133" t="s">
        <v>309</v>
      </c>
      <c r="N133">
        <v>44</v>
      </c>
      <c r="O133">
        <v>10123</v>
      </c>
      <c r="P133">
        <v>58</v>
      </c>
      <c r="Q133">
        <v>87</v>
      </c>
      <c r="R133" s="6">
        <f t="shared" si="8"/>
        <v>29</v>
      </c>
      <c r="S133">
        <v>4</v>
      </c>
      <c r="T133">
        <v>77</v>
      </c>
      <c r="U133">
        <v>67</v>
      </c>
      <c r="V133" t="s">
        <v>35</v>
      </c>
      <c r="W133" t="s">
        <v>43</v>
      </c>
      <c r="X133">
        <v>58</v>
      </c>
      <c r="Y133">
        <v>22</v>
      </c>
      <c r="Z133">
        <v>17</v>
      </c>
      <c r="AA133">
        <v>30</v>
      </c>
      <c r="AB133">
        <v>111328</v>
      </c>
    </row>
    <row r="134" spans="1:28" x14ac:dyDescent="0.3">
      <c r="A134" t="s">
        <v>310</v>
      </c>
      <c r="B134" t="s">
        <v>26</v>
      </c>
      <c r="C134" t="s">
        <v>51</v>
      </c>
      <c r="D134" s="1">
        <v>45534</v>
      </c>
      <c r="E134" s="1">
        <v>45573</v>
      </c>
      <c r="F134" s="16">
        <f t="shared" si="6"/>
        <v>39</v>
      </c>
      <c r="G134">
        <v>7102</v>
      </c>
      <c r="H134" t="s">
        <v>28</v>
      </c>
      <c r="I134">
        <v>79</v>
      </c>
      <c r="J134">
        <v>14</v>
      </c>
      <c r="K134">
        <v>3</v>
      </c>
      <c r="L134" s="11">
        <f t="shared" si="7"/>
        <v>3.7974683544303799E-2</v>
      </c>
      <c r="M134" t="s">
        <v>311</v>
      </c>
      <c r="N134">
        <v>3</v>
      </c>
      <c r="O134">
        <v>19122</v>
      </c>
      <c r="P134">
        <v>46</v>
      </c>
      <c r="Q134">
        <v>61</v>
      </c>
      <c r="R134" s="6">
        <f t="shared" si="8"/>
        <v>15</v>
      </c>
      <c r="S134">
        <v>1</v>
      </c>
      <c r="T134">
        <v>75</v>
      </c>
      <c r="U134">
        <v>72</v>
      </c>
      <c r="V134" t="s">
        <v>30</v>
      </c>
      <c r="W134" t="s">
        <v>43</v>
      </c>
      <c r="X134">
        <v>26</v>
      </c>
      <c r="Y134">
        <v>2</v>
      </c>
      <c r="Z134">
        <v>2</v>
      </c>
      <c r="AA134">
        <v>30</v>
      </c>
      <c r="AB134">
        <v>94081</v>
      </c>
    </row>
    <row r="135" spans="1:28" x14ac:dyDescent="0.3">
      <c r="A135" t="s">
        <v>312</v>
      </c>
      <c r="B135" t="s">
        <v>77</v>
      </c>
      <c r="C135" t="s">
        <v>51</v>
      </c>
      <c r="D135" s="1">
        <v>45448</v>
      </c>
      <c r="E135" s="1">
        <v>45464</v>
      </c>
      <c r="F135" s="16">
        <f t="shared" si="6"/>
        <v>16</v>
      </c>
      <c r="G135">
        <v>43736</v>
      </c>
      <c r="H135" t="s">
        <v>41</v>
      </c>
      <c r="I135">
        <v>13</v>
      </c>
      <c r="J135">
        <v>1</v>
      </c>
      <c r="K135">
        <v>1</v>
      </c>
      <c r="L135" s="11">
        <f t="shared" si="7"/>
        <v>7.6923076923076927E-2</v>
      </c>
      <c r="M135" t="s">
        <v>313</v>
      </c>
      <c r="N135">
        <v>7</v>
      </c>
      <c r="O135">
        <v>17100</v>
      </c>
      <c r="P135">
        <v>74</v>
      </c>
      <c r="Q135">
        <v>75</v>
      </c>
      <c r="R135" s="6">
        <f t="shared" si="8"/>
        <v>1</v>
      </c>
      <c r="S135">
        <v>1</v>
      </c>
      <c r="T135">
        <v>90</v>
      </c>
      <c r="U135">
        <v>55</v>
      </c>
      <c r="V135" t="s">
        <v>35</v>
      </c>
      <c r="W135" t="s">
        <v>43</v>
      </c>
      <c r="X135">
        <v>46</v>
      </c>
      <c r="Y135">
        <v>23</v>
      </c>
      <c r="Z135">
        <v>14</v>
      </c>
      <c r="AA135">
        <v>30</v>
      </c>
      <c r="AB135">
        <v>115392</v>
      </c>
    </row>
    <row r="136" spans="1:28" x14ac:dyDescent="0.3">
      <c r="A136" t="s">
        <v>314</v>
      </c>
      <c r="B136" t="s">
        <v>26</v>
      </c>
      <c r="C136" t="s">
        <v>45</v>
      </c>
      <c r="D136" s="1">
        <v>45586</v>
      </c>
      <c r="E136" s="1">
        <v>45633</v>
      </c>
      <c r="F136" s="16">
        <f t="shared" si="6"/>
        <v>47</v>
      </c>
      <c r="G136">
        <v>30093</v>
      </c>
      <c r="H136" t="s">
        <v>41</v>
      </c>
      <c r="I136">
        <v>66</v>
      </c>
      <c r="J136">
        <v>17</v>
      </c>
      <c r="K136">
        <v>11</v>
      </c>
      <c r="L136" s="11">
        <f t="shared" si="7"/>
        <v>0.16666666666666666</v>
      </c>
      <c r="M136" t="s">
        <v>315</v>
      </c>
      <c r="N136">
        <v>4</v>
      </c>
      <c r="O136">
        <v>20039</v>
      </c>
      <c r="P136">
        <v>62</v>
      </c>
      <c r="Q136">
        <v>68</v>
      </c>
      <c r="R136" s="6">
        <f t="shared" si="8"/>
        <v>6</v>
      </c>
      <c r="S136">
        <v>3</v>
      </c>
      <c r="T136">
        <v>94</v>
      </c>
      <c r="U136">
        <v>77</v>
      </c>
      <c r="V136" t="s">
        <v>30</v>
      </c>
      <c r="W136" t="s">
        <v>31</v>
      </c>
      <c r="X136">
        <v>26</v>
      </c>
      <c r="Y136">
        <v>25</v>
      </c>
      <c r="Z136">
        <v>14</v>
      </c>
      <c r="AA136">
        <v>30</v>
      </c>
      <c r="AB136">
        <v>86701</v>
      </c>
    </row>
    <row r="137" spans="1:28" x14ac:dyDescent="0.3">
      <c r="A137" t="s">
        <v>316</v>
      </c>
      <c r="B137" t="s">
        <v>72</v>
      </c>
      <c r="C137" t="s">
        <v>60</v>
      </c>
      <c r="D137" s="1">
        <v>45655</v>
      </c>
      <c r="E137" s="1">
        <v>45700</v>
      </c>
      <c r="F137" s="16">
        <f t="shared" si="6"/>
        <v>45</v>
      </c>
      <c r="G137">
        <v>42793</v>
      </c>
      <c r="H137" t="s">
        <v>38</v>
      </c>
      <c r="I137">
        <v>24</v>
      </c>
      <c r="J137">
        <v>2</v>
      </c>
      <c r="K137">
        <v>2</v>
      </c>
      <c r="L137" s="11">
        <f t="shared" si="7"/>
        <v>8.3333333333333329E-2</v>
      </c>
      <c r="M137" t="s">
        <v>317</v>
      </c>
      <c r="N137">
        <v>28</v>
      </c>
      <c r="O137">
        <v>21485</v>
      </c>
      <c r="P137">
        <v>53</v>
      </c>
      <c r="Q137">
        <v>79</v>
      </c>
      <c r="R137" s="6">
        <f t="shared" si="8"/>
        <v>26</v>
      </c>
      <c r="S137">
        <v>1</v>
      </c>
      <c r="T137">
        <v>94</v>
      </c>
      <c r="U137">
        <v>76</v>
      </c>
      <c r="V137" t="s">
        <v>35</v>
      </c>
      <c r="W137" t="s">
        <v>43</v>
      </c>
      <c r="X137">
        <v>51</v>
      </c>
      <c r="Y137">
        <v>2</v>
      </c>
      <c r="Z137">
        <v>25</v>
      </c>
      <c r="AA137">
        <v>30</v>
      </c>
      <c r="AB137">
        <v>30261</v>
      </c>
    </row>
    <row r="138" spans="1:28" x14ac:dyDescent="0.3">
      <c r="A138" t="s">
        <v>318</v>
      </c>
      <c r="B138" t="s">
        <v>55</v>
      </c>
      <c r="C138" t="s">
        <v>86</v>
      </c>
      <c r="D138" s="1">
        <v>45540</v>
      </c>
      <c r="E138" s="1">
        <v>45546</v>
      </c>
      <c r="F138" s="16">
        <f t="shared" si="6"/>
        <v>6</v>
      </c>
      <c r="G138">
        <v>15133</v>
      </c>
      <c r="H138" t="s">
        <v>28</v>
      </c>
      <c r="I138">
        <v>80</v>
      </c>
      <c r="J138">
        <v>11</v>
      </c>
      <c r="K138">
        <v>11</v>
      </c>
      <c r="L138" s="11">
        <f t="shared" si="7"/>
        <v>0.13750000000000001</v>
      </c>
      <c r="M138" t="s">
        <v>319</v>
      </c>
      <c r="N138">
        <v>1</v>
      </c>
      <c r="O138">
        <v>21943</v>
      </c>
      <c r="P138">
        <v>52</v>
      </c>
      <c r="Q138">
        <v>61</v>
      </c>
      <c r="R138" s="6">
        <f t="shared" si="8"/>
        <v>9</v>
      </c>
      <c r="S138">
        <v>3</v>
      </c>
      <c r="T138">
        <v>99</v>
      </c>
      <c r="U138">
        <v>74</v>
      </c>
      <c r="V138" t="s">
        <v>35</v>
      </c>
      <c r="W138" t="s">
        <v>43</v>
      </c>
      <c r="X138">
        <v>29</v>
      </c>
      <c r="Y138">
        <v>8</v>
      </c>
      <c r="Z138">
        <v>7</v>
      </c>
      <c r="AA138">
        <v>30</v>
      </c>
      <c r="AB138">
        <v>31592</v>
      </c>
    </row>
    <row r="139" spans="1:28" x14ac:dyDescent="0.3">
      <c r="A139" t="s">
        <v>320</v>
      </c>
      <c r="B139" t="s">
        <v>67</v>
      </c>
      <c r="C139" t="s">
        <v>51</v>
      </c>
      <c r="D139" s="1">
        <v>45349</v>
      </c>
      <c r="E139" s="1">
        <v>45372</v>
      </c>
      <c r="F139" s="16">
        <f t="shared" si="6"/>
        <v>23</v>
      </c>
      <c r="G139">
        <v>21610</v>
      </c>
      <c r="H139" t="s">
        <v>41</v>
      </c>
      <c r="I139">
        <v>20</v>
      </c>
      <c r="J139">
        <v>14</v>
      </c>
      <c r="K139">
        <v>14</v>
      </c>
      <c r="L139" s="11">
        <f t="shared" si="7"/>
        <v>0.7</v>
      </c>
      <c r="M139" t="s">
        <v>321</v>
      </c>
      <c r="N139">
        <v>43</v>
      </c>
      <c r="O139">
        <v>2521</v>
      </c>
      <c r="P139">
        <v>42</v>
      </c>
      <c r="Q139">
        <v>71</v>
      </c>
      <c r="R139" s="6">
        <f t="shared" si="8"/>
        <v>29</v>
      </c>
      <c r="S139">
        <v>2</v>
      </c>
      <c r="T139">
        <v>78</v>
      </c>
      <c r="U139">
        <v>58</v>
      </c>
      <c r="V139" t="s">
        <v>30</v>
      </c>
      <c r="W139" t="s">
        <v>31</v>
      </c>
      <c r="X139">
        <v>30</v>
      </c>
      <c r="Y139">
        <v>17</v>
      </c>
      <c r="Z139">
        <v>7</v>
      </c>
      <c r="AA139">
        <v>30</v>
      </c>
      <c r="AB139">
        <v>30497</v>
      </c>
    </row>
    <row r="140" spans="1:28" x14ac:dyDescent="0.3">
      <c r="A140" t="s">
        <v>322</v>
      </c>
      <c r="B140" t="s">
        <v>67</v>
      </c>
      <c r="C140" t="s">
        <v>86</v>
      </c>
      <c r="D140" s="1">
        <v>45731</v>
      </c>
      <c r="E140" s="1">
        <v>45766</v>
      </c>
      <c r="F140" s="16">
        <f t="shared" si="6"/>
        <v>35</v>
      </c>
      <c r="G140">
        <v>23900</v>
      </c>
      <c r="H140" t="s">
        <v>41</v>
      </c>
      <c r="I140">
        <v>126</v>
      </c>
      <c r="J140">
        <v>6</v>
      </c>
      <c r="K140">
        <v>5</v>
      </c>
      <c r="L140" s="11">
        <f t="shared" si="7"/>
        <v>3.968253968253968E-2</v>
      </c>
      <c r="M140" t="s">
        <v>323</v>
      </c>
      <c r="N140">
        <v>62</v>
      </c>
      <c r="O140">
        <v>3973</v>
      </c>
      <c r="P140">
        <v>56</v>
      </c>
      <c r="Q140">
        <v>66</v>
      </c>
      <c r="R140" s="6">
        <f t="shared" si="8"/>
        <v>10</v>
      </c>
      <c r="S140">
        <v>4</v>
      </c>
      <c r="T140">
        <v>77</v>
      </c>
      <c r="U140">
        <v>54</v>
      </c>
      <c r="V140" t="s">
        <v>30</v>
      </c>
      <c r="W140" t="s">
        <v>31</v>
      </c>
      <c r="X140">
        <v>60</v>
      </c>
      <c r="Y140">
        <v>0</v>
      </c>
      <c r="Z140">
        <v>19</v>
      </c>
      <c r="AA140">
        <v>30</v>
      </c>
      <c r="AB140">
        <v>106239</v>
      </c>
    </row>
    <row r="141" spans="1:28" x14ac:dyDescent="0.3">
      <c r="A141" t="s">
        <v>324</v>
      </c>
      <c r="B141" t="s">
        <v>72</v>
      </c>
      <c r="C141" t="s">
        <v>48</v>
      </c>
      <c r="D141" s="1">
        <v>45661</v>
      </c>
      <c r="E141" s="1">
        <v>45698</v>
      </c>
      <c r="F141" s="16">
        <f t="shared" si="6"/>
        <v>37</v>
      </c>
      <c r="G141">
        <v>9875</v>
      </c>
      <c r="H141" t="s">
        <v>38</v>
      </c>
      <c r="I141">
        <v>13</v>
      </c>
      <c r="J141">
        <v>9</v>
      </c>
      <c r="K141">
        <v>8</v>
      </c>
      <c r="L141" s="11">
        <f t="shared" si="7"/>
        <v>0.61538461538461542</v>
      </c>
      <c r="M141" t="s">
        <v>325</v>
      </c>
      <c r="N141">
        <v>16</v>
      </c>
      <c r="O141">
        <v>6810</v>
      </c>
      <c r="P141">
        <v>44</v>
      </c>
      <c r="Q141">
        <v>50</v>
      </c>
      <c r="R141" s="6">
        <f t="shared" si="8"/>
        <v>6</v>
      </c>
      <c r="S141">
        <v>1</v>
      </c>
      <c r="T141">
        <v>84</v>
      </c>
      <c r="U141">
        <v>50</v>
      </c>
      <c r="V141" t="s">
        <v>35</v>
      </c>
      <c r="W141" t="s">
        <v>43</v>
      </c>
      <c r="X141">
        <v>27</v>
      </c>
      <c r="Y141">
        <v>9</v>
      </c>
      <c r="Z141">
        <v>25</v>
      </c>
      <c r="AA141">
        <v>30</v>
      </c>
      <c r="AB141">
        <v>104431</v>
      </c>
    </row>
    <row r="142" spans="1:28" x14ac:dyDescent="0.3">
      <c r="A142" t="s">
        <v>326</v>
      </c>
      <c r="B142" t="s">
        <v>55</v>
      </c>
      <c r="C142" t="s">
        <v>45</v>
      </c>
      <c r="D142" s="1">
        <v>45700</v>
      </c>
      <c r="E142" s="1">
        <v>45716</v>
      </c>
      <c r="F142" s="16">
        <f t="shared" si="6"/>
        <v>16</v>
      </c>
      <c r="G142">
        <v>41401</v>
      </c>
      <c r="H142" t="s">
        <v>33</v>
      </c>
      <c r="I142">
        <v>170</v>
      </c>
      <c r="J142">
        <v>20</v>
      </c>
      <c r="K142">
        <v>13</v>
      </c>
      <c r="L142" s="11">
        <f t="shared" si="7"/>
        <v>7.6470588235294124E-2</v>
      </c>
      <c r="M142" t="s">
        <v>327</v>
      </c>
      <c r="N142">
        <v>62</v>
      </c>
      <c r="O142">
        <v>22090</v>
      </c>
      <c r="P142">
        <v>71</v>
      </c>
      <c r="Q142">
        <v>76</v>
      </c>
      <c r="R142" s="6">
        <f t="shared" si="8"/>
        <v>5</v>
      </c>
      <c r="S142">
        <v>4</v>
      </c>
      <c r="T142">
        <v>80</v>
      </c>
      <c r="U142">
        <v>55</v>
      </c>
      <c r="V142" t="s">
        <v>35</v>
      </c>
      <c r="W142" t="s">
        <v>43</v>
      </c>
      <c r="X142">
        <v>37</v>
      </c>
      <c r="Y142">
        <v>21</v>
      </c>
      <c r="Z142">
        <v>5</v>
      </c>
      <c r="AA142">
        <v>30</v>
      </c>
      <c r="AB142">
        <v>96465</v>
      </c>
    </row>
    <row r="143" spans="1:28" x14ac:dyDescent="0.3">
      <c r="A143" t="s">
        <v>328</v>
      </c>
      <c r="B143" t="s">
        <v>77</v>
      </c>
      <c r="C143" t="s">
        <v>86</v>
      </c>
      <c r="D143" s="1">
        <v>45555</v>
      </c>
      <c r="E143" s="1">
        <v>45605</v>
      </c>
      <c r="F143" s="16">
        <f t="shared" si="6"/>
        <v>50</v>
      </c>
      <c r="G143">
        <v>27887</v>
      </c>
      <c r="H143" t="s">
        <v>28</v>
      </c>
      <c r="I143">
        <v>137</v>
      </c>
      <c r="J143">
        <v>1</v>
      </c>
      <c r="K143">
        <v>1</v>
      </c>
      <c r="L143" s="11">
        <f t="shared" si="7"/>
        <v>7.2992700729927005E-3</v>
      </c>
      <c r="M143" t="s">
        <v>329</v>
      </c>
      <c r="N143">
        <v>3</v>
      </c>
      <c r="O143">
        <v>23116</v>
      </c>
      <c r="P143">
        <v>74</v>
      </c>
      <c r="Q143">
        <v>74</v>
      </c>
      <c r="R143" s="6">
        <f t="shared" si="8"/>
        <v>0</v>
      </c>
      <c r="S143">
        <v>4</v>
      </c>
      <c r="T143">
        <v>79</v>
      </c>
      <c r="U143">
        <v>62</v>
      </c>
      <c r="V143" t="s">
        <v>30</v>
      </c>
      <c r="W143" t="s">
        <v>43</v>
      </c>
      <c r="X143">
        <v>58</v>
      </c>
      <c r="Y143">
        <v>0</v>
      </c>
      <c r="Z143">
        <v>7</v>
      </c>
      <c r="AA143">
        <v>30</v>
      </c>
      <c r="AB143">
        <v>38509</v>
      </c>
    </row>
    <row r="144" spans="1:28" x14ac:dyDescent="0.3">
      <c r="A144" t="s">
        <v>330</v>
      </c>
      <c r="B144" t="s">
        <v>72</v>
      </c>
      <c r="C144" t="s">
        <v>86</v>
      </c>
      <c r="D144" s="1">
        <v>45475</v>
      </c>
      <c r="E144" s="1">
        <v>45529</v>
      </c>
      <c r="F144" s="16">
        <f t="shared" si="6"/>
        <v>54</v>
      </c>
      <c r="G144">
        <v>31967</v>
      </c>
      <c r="H144" t="s">
        <v>38</v>
      </c>
      <c r="I144">
        <v>99</v>
      </c>
      <c r="J144">
        <v>14</v>
      </c>
      <c r="K144">
        <v>5</v>
      </c>
      <c r="L144" s="11">
        <f t="shared" si="7"/>
        <v>5.0505050505050504E-2</v>
      </c>
      <c r="M144" t="s">
        <v>331</v>
      </c>
      <c r="N144">
        <v>20</v>
      </c>
      <c r="O144">
        <v>12330</v>
      </c>
      <c r="P144">
        <v>81</v>
      </c>
      <c r="Q144">
        <v>81</v>
      </c>
      <c r="R144" s="6">
        <f t="shared" si="8"/>
        <v>0</v>
      </c>
      <c r="S144">
        <v>3</v>
      </c>
      <c r="T144">
        <v>90</v>
      </c>
      <c r="U144">
        <v>69</v>
      </c>
      <c r="V144" t="s">
        <v>30</v>
      </c>
      <c r="W144" t="s">
        <v>43</v>
      </c>
      <c r="X144">
        <v>24</v>
      </c>
      <c r="Y144">
        <v>12</v>
      </c>
      <c r="Z144">
        <v>3</v>
      </c>
      <c r="AA144">
        <v>30</v>
      </c>
      <c r="AB144">
        <v>103450</v>
      </c>
    </row>
    <row r="145" spans="1:28" x14ac:dyDescent="0.3">
      <c r="A145" t="s">
        <v>332</v>
      </c>
      <c r="B145" t="s">
        <v>67</v>
      </c>
      <c r="C145" t="s">
        <v>51</v>
      </c>
      <c r="D145" s="1">
        <v>45436</v>
      </c>
      <c r="E145" s="1">
        <v>45484</v>
      </c>
      <c r="F145" s="16">
        <f t="shared" si="6"/>
        <v>48</v>
      </c>
      <c r="G145">
        <v>47912</v>
      </c>
      <c r="H145" t="s">
        <v>41</v>
      </c>
      <c r="I145">
        <v>163</v>
      </c>
      <c r="J145">
        <v>9</v>
      </c>
      <c r="K145">
        <v>5</v>
      </c>
      <c r="L145" s="11">
        <f t="shared" si="7"/>
        <v>3.0674846625766871E-2</v>
      </c>
      <c r="M145" t="s">
        <v>333</v>
      </c>
      <c r="N145">
        <v>68</v>
      </c>
      <c r="O145">
        <v>14223</v>
      </c>
      <c r="P145">
        <v>73</v>
      </c>
      <c r="Q145">
        <v>98</v>
      </c>
      <c r="R145" s="6">
        <f t="shared" si="8"/>
        <v>25</v>
      </c>
      <c r="S145">
        <v>2</v>
      </c>
      <c r="T145">
        <v>77</v>
      </c>
      <c r="U145">
        <v>97</v>
      </c>
      <c r="V145" t="s">
        <v>35</v>
      </c>
      <c r="W145" t="s">
        <v>43</v>
      </c>
      <c r="X145">
        <v>46</v>
      </c>
      <c r="Y145">
        <v>8</v>
      </c>
      <c r="Z145">
        <v>4</v>
      </c>
      <c r="AA145">
        <v>30</v>
      </c>
      <c r="AB145">
        <v>52754</v>
      </c>
    </row>
    <row r="146" spans="1:28" x14ac:dyDescent="0.3">
      <c r="A146" t="s">
        <v>334</v>
      </c>
      <c r="B146" t="s">
        <v>67</v>
      </c>
      <c r="C146" t="s">
        <v>45</v>
      </c>
      <c r="D146" s="1">
        <v>45296</v>
      </c>
      <c r="E146" s="1">
        <v>45316</v>
      </c>
      <c r="F146" s="16">
        <f t="shared" si="6"/>
        <v>20</v>
      </c>
      <c r="G146">
        <v>42418</v>
      </c>
      <c r="H146" t="s">
        <v>33</v>
      </c>
      <c r="I146">
        <v>87</v>
      </c>
      <c r="J146">
        <v>8</v>
      </c>
      <c r="K146">
        <v>8</v>
      </c>
      <c r="L146" s="11">
        <f t="shared" si="7"/>
        <v>9.1954022988505746E-2</v>
      </c>
      <c r="M146" t="s">
        <v>335</v>
      </c>
      <c r="N146">
        <v>10</v>
      </c>
      <c r="O146">
        <v>22315</v>
      </c>
      <c r="P146">
        <v>70</v>
      </c>
      <c r="Q146">
        <v>95</v>
      </c>
      <c r="R146" s="6">
        <f t="shared" si="8"/>
        <v>25</v>
      </c>
      <c r="S146">
        <v>3</v>
      </c>
      <c r="T146">
        <v>77</v>
      </c>
      <c r="U146">
        <v>72</v>
      </c>
      <c r="V146" t="s">
        <v>35</v>
      </c>
      <c r="W146" t="s">
        <v>31</v>
      </c>
      <c r="X146">
        <v>30</v>
      </c>
      <c r="Y146">
        <v>24</v>
      </c>
      <c r="Z146">
        <v>19</v>
      </c>
      <c r="AA146">
        <v>30</v>
      </c>
      <c r="AB146">
        <v>52164</v>
      </c>
    </row>
    <row r="147" spans="1:28" x14ac:dyDescent="0.3">
      <c r="A147" t="s">
        <v>336</v>
      </c>
      <c r="B147" t="s">
        <v>77</v>
      </c>
      <c r="C147" t="s">
        <v>86</v>
      </c>
      <c r="D147" s="1">
        <v>45343</v>
      </c>
      <c r="E147" s="1">
        <v>45362</v>
      </c>
      <c r="F147" s="16">
        <f t="shared" si="6"/>
        <v>19</v>
      </c>
      <c r="G147">
        <v>27167</v>
      </c>
      <c r="H147" t="s">
        <v>33</v>
      </c>
      <c r="I147">
        <v>189</v>
      </c>
      <c r="J147">
        <v>8</v>
      </c>
      <c r="K147">
        <v>5</v>
      </c>
      <c r="L147" s="11">
        <f t="shared" si="7"/>
        <v>2.6455026455026454E-2</v>
      </c>
      <c r="M147" t="s">
        <v>337</v>
      </c>
      <c r="N147">
        <v>54</v>
      </c>
      <c r="O147">
        <v>25867</v>
      </c>
      <c r="P147">
        <v>83</v>
      </c>
      <c r="Q147">
        <v>87</v>
      </c>
      <c r="R147" s="6">
        <f t="shared" si="8"/>
        <v>4</v>
      </c>
      <c r="S147">
        <v>5</v>
      </c>
      <c r="T147">
        <v>98</v>
      </c>
      <c r="U147">
        <v>68</v>
      </c>
      <c r="V147" t="s">
        <v>35</v>
      </c>
      <c r="W147" t="s">
        <v>43</v>
      </c>
      <c r="X147">
        <v>50</v>
      </c>
      <c r="Y147">
        <v>10</v>
      </c>
      <c r="Z147">
        <v>6</v>
      </c>
      <c r="AA147">
        <v>30</v>
      </c>
      <c r="AB147">
        <v>50295</v>
      </c>
    </row>
    <row r="148" spans="1:28" x14ac:dyDescent="0.3">
      <c r="A148" t="s">
        <v>338</v>
      </c>
      <c r="B148" t="s">
        <v>37</v>
      </c>
      <c r="C148" t="s">
        <v>86</v>
      </c>
      <c r="D148" s="1">
        <v>45404</v>
      </c>
      <c r="E148" s="1">
        <v>45417</v>
      </c>
      <c r="F148" s="16">
        <f t="shared" si="6"/>
        <v>13</v>
      </c>
      <c r="G148">
        <v>31754</v>
      </c>
      <c r="H148" t="s">
        <v>52</v>
      </c>
      <c r="I148">
        <v>136</v>
      </c>
      <c r="J148">
        <v>3</v>
      </c>
      <c r="K148">
        <v>1</v>
      </c>
      <c r="L148" s="11">
        <f t="shared" si="7"/>
        <v>7.3529411764705881E-3</v>
      </c>
      <c r="M148" t="s">
        <v>339</v>
      </c>
      <c r="N148">
        <v>36</v>
      </c>
      <c r="O148">
        <v>10440</v>
      </c>
      <c r="P148">
        <v>78</v>
      </c>
      <c r="Q148">
        <v>92</v>
      </c>
      <c r="R148" s="6">
        <f t="shared" si="8"/>
        <v>14</v>
      </c>
      <c r="S148">
        <v>5</v>
      </c>
      <c r="T148">
        <v>100</v>
      </c>
      <c r="U148">
        <v>81</v>
      </c>
      <c r="V148" t="s">
        <v>30</v>
      </c>
      <c r="W148" t="s">
        <v>31</v>
      </c>
      <c r="X148">
        <v>39</v>
      </c>
      <c r="Y148">
        <v>0</v>
      </c>
      <c r="Z148">
        <v>17</v>
      </c>
      <c r="AA148">
        <v>30</v>
      </c>
      <c r="AB148">
        <v>33792</v>
      </c>
    </row>
    <row r="149" spans="1:28" x14ac:dyDescent="0.3">
      <c r="A149" t="s">
        <v>340</v>
      </c>
      <c r="B149" t="s">
        <v>37</v>
      </c>
      <c r="C149" t="s">
        <v>27</v>
      </c>
      <c r="D149" s="1">
        <v>45631</v>
      </c>
      <c r="E149" s="1">
        <v>45646</v>
      </c>
      <c r="F149" s="16">
        <f t="shared" si="6"/>
        <v>15</v>
      </c>
      <c r="G149">
        <v>21190</v>
      </c>
      <c r="H149" t="s">
        <v>38</v>
      </c>
      <c r="I149">
        <v>146</v>
      </c>
      <c r="J149">
        <v>12</v>
      </c>
      <c r="K149">
        <v>3</v>
      </c>
      <c r="L149" s="11">
        <f t="shared" si="7"/>
        <v>2.0547945205479451E-2</v>
      </c>
      <c r="M149" t="s">
        <v>341</v>
      </c>
      <c r="N149">
        <v>56</v>
      </c>
      <c r="O149">
        <v>7572</v>
      </c>
      <c r="P149">
        <v>74</v>
      </c>
      <c r="Q149">
        <v>86</v>
      </c>
      <c r="R149" s="6">
        <f t="shared" si="8"/>
        <v>12</v>
      </c>
      <c r="S149">
        <v>2</v>
      </c>
      <c r="T149">
        <v>99</v>
      </c>
      <c r="U149">
        <v>90</v>
      </c>
      <c r="V149" t="s">
        <v>30</v>
      </c>
      <c r="W149" t="s">
        <v>31</v>
      </c>
      <c r="X149">
        <v>55</v>
      </c>
      <c r="Y149">
        <v>22</v>
      </c>
      <c r="Z149">
        <v>3</v>
      </c>
      <c r="AA149">
        <v>30</v>
      </c>
      <c r="AB149">
        <v>31850</v>
      </c>
    </row>
    <row r="150" spans="1:28" x14ac:dyDescent="0.3">
      <c r="A150" t="s">
        <v>342</v>
      </c>
      <c r="B150" t="s">
        <v>37</v>
      </c>
      <c r="C150" t="s">
        <v>86</v>
      </c>
      <c r="D150" s="1">
        <v>45712</v>
      </c>
      <c r="E150" s="1">
        <v>45717</v>
      </c>
      <c r="F150" s="16">
        <f t="shared" si="6"/>
        <v>5</v>
      </c>
      <c r="G150">
        <v>37264</v>
      </c>
      <c r="H150" t="s">
        <v>52</v>
      </c>
      <c r="I150">
        <v>108</v>
      </c>
      <c r="J150">
        <v>8</v>
      </c>
      <c r="K150">
        <v>2</v>
      </c>
      <c r="L150" s="11">
        <f t="shared" si="7"/>
        <v>1.8518518518518517E-2</v>
      </c>
      <c r="M150" t="s">
        <v>343</v>
      </c>
      <c r="N150">
        <v>73</v>
      </c>
      <c r="O150">
        <v>21940</v>
      </c>
      <c r="P150">
        <v>43</v>
      </c>
      <c r="Q150">
        <v>69</v>
      </c>
      <c r="R150" s="6">
        <f t="shared" si="8"/>
        <v>26</v>
      </c>
      <c r="S150">
        <v>5</v>
      </c>
      <c r="T150">
        <v>92</v>
      </c>
      <c r="U150">
        <v>91</v>
      </c>
      <c r="V150" t="s">
        <v>35</v>
      </c>
      <c r="W150" t="s">
        <v>31</v>
      </c>
      <c r="X150">
        <v>28</v>
      </c>
      <c r="Y150">
        <v>12</v>
      </c>
      <c r="Z150">
        <v>21</v>
      </c>
      <c r="AA150">
        <v>30</v>
      </c>
      <c r="AB150">
        <v>35922</v>
      </c>
    </row>
    <row r="151" spans="1:28" x14ac:dyDescent="0.3">
      <c r="A151" t="s">
        <v>344</v>
      </c>
      <c r="B151" t="s">
        <v>67</v>
      </c>
      <c r="C151" t="s">
        <v>48</v>
      </c>
      <c r="D151" s="1">
        <v>45345</v>
      </c>
      <c r="E151" s="1">
        <v>45377</v>
      </c>
      <c r="F151" s="16">
        <f t="shared" si="6"/>
        <v>32</v>
      </c>
      <c r="G151">
        <v>46966</v>
      </c>
      <c r="H151" t="s">
        <v>52</v>
      </c>
      <c r="I151">
        <v>178</v>
      </c>
      <c r="J151">
        <v>11</v>
      </c>
      <c r="K151">
        <v>2</v>
      </c>
      <c r="L151" s="11">
        <f t="shared" si="7"/>
        <v>1.1235955056179775E-2</v>
      </c>
      <c r="M151" t="s">
        <v>345</v>
      </c>
      <c r="N151">
        <v>54</v>
      </c>
      <c r="O151">
        <v>21609</v>
      </c>
      <c r="P151">
        <v>49</v>
      </c>
      <c r="Q151">
        <v>68</v>
      </c>
      <c r="R151" s="6">
        <f t="shared" si="8"/>
        <v>19</v>
      </c>
      <c r="S151">
        <v>4</v>
      </c>
      <c r="T151">
        <v>91</v>
      </c>
      <c r="U151">
        <v>68</v>
      </c>
      <c r="V151" t="s">
        <v>35</v>
      </c>
      <c r="W151" t="s">
        <v>31</v>
      </c>
      <c r="X151">
        <v>60</v>
      </c>
      <c r="Y151">
        <v>12</v>
      </c>
      <c r="Z151">
        <v>5</v>
      </c>
      <c r="AA151">
        <v>30</v>
      </c>
      <c r="AB151">
        <v>81227</v>
      </c>
    </row>
    <row r="152" spans="1:28" x14ac:dyDescent="0.3">
      <c r="A152" t="s">
        <v>346</v>
      </c>
      <c r="B152" t="s">
        <v>26</v>
      </c>
      <c r="C152" t="s">
        <v>51</v>
      </c>
      <c r="D152" s="1">
        <v>45536</v>
      </c>
      <c r="E152" s="1">
        <v>45596</v>
      </c>
      <c r="F152" s="16">
        <f t="shared" si="6"/>
        <v>60</v>
      </c>
      <c r="G152">
        <v>8585</v>
      </c>
      <c r="H152" t="s">
        <v>28</v>
      </c>
      <c r="I152">
        <v>163</v>
      </c>
      <c r="J152">
        <v>16</v>
      </c>
      <c r="K152">
        <v>12</v>
      </c>
      <c r="L152" s="11">
        <f t="shared" si="7"/>
        <v>7.3619631901840496E-2</v>
      </c>
      <c r="M152" t="s">
        <v>347</v>
      </c>
      <c r="N152">
        <v>3</v>
      </c>
      <c r="O152">
        <v>24388</v>
      </c>
      <c r="P152">
        <v>78</v>
      </c>
      <c r="Q152">
        <v>88</v>
      </c>
      <c r="R152" s="6">
        <f t="shared" si="8"/>
        <v>10</v>
      </c>
      <c r="S152">
        <v>2</v>
      </c>
      <c r="T152">
        <v>90</v>
      </c>
      <c r="U152">
        <v>96</v>
      </c>
      <c r="V152" t="s">
        <v>35</v>
      </c>
      <c r="W152" t="s">
        <v>31</v>
      </c>
      <c r="X152">
        <v>48</v>
      </c>
      <c r="Y152">
        <v>6</v>
      </c>
      <c r="Z152">
        <v>3</v>
      </c>
      <c r="AA152">
        <v>30</v>
      </c>
      <c r="AB152">
        <v>50345</v>
      </c>
    </row>
    <row r="153" spans="1:28" x14ac:dyDescent="0.3">
      <c r="A153" t="s">
        <v>348</v>
      </c>
      <c r="B153" t="s">
        <v>72</v>
      </c>
      <c r="C153" t="s">
        <v>27</v>
      </c>
      <c r="D153" s="1">
        <v>45612</v>
      </c>
      <c r="E153" s="1">
        <v>45671</v>
      </c>
      <c r="F153" s="16">
        <f t="shared" si="6"/>
        <v>59</v>
      </c>
      <c r="G153">
        <v>18082</v>
      </c>
      <c r="H153" t="s">
        <v>28</v>
      </c>
      <c r="I153">
        <v>61</v>
      </c>
      <c r="J153">
        <v>12</v>
      </c>
      <c r="K153">
        <v>10</v>
      </c>
      <c r="L153" s="11">
        <f t="shared" si="7"/>
        <v>0.16393442622950818</v>
      </c>
      <c r="M153" t="s">
        <v>349</v>
      </c>
      <c r="N153">
        <v>72</v>
      </c>
      <c r="O153">
        <v>28809</v>
      </c>
      <c r="P153">
        <v>62</v>
      </c>
      <c r="Q153">
        <v>75</v>
      </c>
      <c r="R153" s="6">
        <f t="shared" si="8"/>
        <v>13</v>
      </c>
      <c r="S153">
        <v>5</v>
      </c>
      <c r="T153">
        <v>79</v>
      </c>
      <c r="U153">
        <v>80</v>
      </c>
      <c r="V153" t="s">
        <v>30</v>
      </c>
      <c r="W153" t="s">
        <v>43</v>
      </c>
      <c r="X153">
        <v>32</v>
      </c>
      <c r="Y153">
        <v>3</v>
      </c>
      <c r="Z153">
        <v>20</v>
      </c>
      <c r="AA153">
        <v>30</v>
      </c>
      <c r="AB153">
        <v>84081</v>
      </c>
    </row>
    <row r="154" spans="1:28" x14ac:dyDescent="0.3">
      <c r="A154" t="s">
        <v>350</v>
      </c>
      <c r="B154" t="s">
        <v>37</v>
      </c>
      <c r="C154" t="s">
        <v>60</v>
      </c>
      <c r="D154" s="1">
        <v>45691</v>
      </c>
      <c r="E154" s="1">
        <v>45739</v>
      </c>
      <c r="F154" s="16">
        <f t="shared" si="6"/>
        <v>48</v>
      </c>
      <c r="G154">
        <v>22281</v>
      </c>
      <c r="H154" t="s">
        <v>33</v>
      </c>
      <c r="I154">
        <v>190</v>
      </c>
      <c r="J154">
        <v>1</v>
      </c>
      <c r="K154">
        <v>1</v>
      </c>
      <c r="L154" s="11">
        <f t="shared" si="7"/>
        <v>5.263157894736842E-3</v>
      </c>
      <c r="M154" t="s">
        <v>351</v>
      </c>
      <c r="N154">
        <v>10</v>
      </c>
      <c r="O154">
        <v>24991</v>
      </c>
      <c r="P154">
        <v>77</v>
      </c>
      <c r="Q154">
        <v>100</v>
      </c>
      <c r="R154" s="6">
        <f t="shared" si="8"/>
        <v>23</v>
      </c>
      <c r="S154">
        <v>4</v>
      </c>
      <c r="T154">
        <v>80</v>
      </c>
      <c r="U154">
        <v>100</v>
      </c>
      <c r="V154" t="s">
        <v>30</v>
      </c>
      <c r="W154" t="s">
        <v>43</v>
      </c>
      <c r="X154">
        <v>58</v>
      </c>
      <c r="Y154">
        <v>5</v>
      </c>
      <c r="Z154">
        <v>25</v>
      </c>
      <c r="AA154">
        <v>30</v>
      </c>
      <c r="AB154">
        <v>36896</v>
      </c>
    </row>
    <row r="155" spans="1:28" x14ac:dyDescent="0.3">
      <c r="A155" t="s">
        <v>352</v>
      </c>
      <c r="B155" t="s">
        <v>55</v>
      </c>
      <c r="C155" t="s">
        <v>45</v>
      </c>
      <c r="D155" s="1">
        <v>45782</v>
      </c>
      <c r="E155" s="1">
        <v>45837</v>
      </c>
      <c r="F155" s="16">
        <f t="shared" si="6"/>
        <v>55</v>
      </c>
      <c r="G155">
        <v>20929</v>
      </c>
      <c r="H155" t="s">
        <v>41</v>
      </c>
      <c r="I155">
        <v>33</v>
      </c>
      <c r="J155">
        <v>18</v>
      </c>
      <c r="K155">
        <v>18</v>
      </c>
      <c r="L155" s="11">
        <f t="shared" si="7"/>
        <v>0.54545454545454541</v>
      </c>
      <c r="M155" t="s">
        <v>353</v>
      </c>
      <c r="N155">
        <v>66</v>
      </c>
      <c r="O155">
        <v>17246</v>
      </c>
      <c r="P155">
        <v>75</v>
      </c>
      <c r="Q155">
        <v>86</v>
      </c>
      <c r="R155" s="6">
        <f t="shared" si="8"/>
        <v>11</v>
      </c>
      <c r="S155">
        <v>4</v>
      </c>
      <c r="T155">
        <v>85</v>
      </c>
      <c r="U155">
        <v>53</v>
      </c>
      <c r="V155" t="s">
        <v>30</v>
      </c>
      <c r="W155" t="s">
        <v>43</v>
      </c>
      <c r="X155">
        <v>34</v>
      </c>
      <c r="Y155">
        <v>20</v>
      </c>
      <c r="Z155">
        <v>19</v>
      </c>
      <c r="AA155">
        <v>30</v>
      </c>
      <c r="AB155">
        <v>108479</v>
      </c>
    </row>
    <row r="156" spans="1:28" x14ac:dyDescent="0.3">
      <c r="A156" t="s">
        <v>354</v>
      </c>
      <c r="B156" t="s">
        <v>67</v>
      </c>
      <c r="C156" t="s">
        <v>51</v>
      </c>
      <c r="D156" s="1">
        <v>45370</v>
      </c>
      <c r="E156" s="1">
        <v>45409</v>
      </c>
      <c r="F156" s="16">
        <f t="shared" si="6"/>
        <v>39</v>
      </c>
      <c r="G156">
        <v>34154</v>
      </c>
      <c r="H156" t="s">
        <v>33</v>
      </c>
      <c r="I156">
        <v>44</v>
      </c>
      <c r="J156">
        <v>8</v>
      </c>
      <c r="K156">
        <v>5</v>
      </c>
      <c r="L156" s="11">
        <f t="shared" si="7"/>
        <v>0.11363636363636363</v>
      </c>
      <c r="M156" t="s">
        <v>355</v>
      </c>
      <c r="N156">
        <v>1</v>
      </c>
      <c r="O156">
        <v>24434</v>
      </c>
      <c r="P156">
        <v>70</v>
      </c>
      <c r="Q156">
        <v>76</v>
      </c>
      <c r="R156" s="6">
        <f t="shared" si="8"/>
        <v>6</v>
      </c>
      <c r="S156">
        <v>5</v>
      </c>
      <c r="T156">
        <v>82</v>
      </c>
      <c r="U156">
        <v>52</v>
      </c>
      <c r="V156" t="s">
        <v>35</v>
      </c>
      <c r="W156" t="s">
        <v>31</v>
      </c>
      <c r="X156">
        <v>27</v>
      </c>
      <c r="Y156">
        <v>24</v>
      </c>
      <c r="Z156">
        <v>14</v>
      </c>
      <c r="AA156">
        <v>30</v>
      </c>
      <c r="AB156">
        <v>64163</v>
      </c>
    </row>
    <row r="157" spans="1:28" x14ac:dyDescent="0.3">
      <c r="A157" t="s">
        <v>356</v>
      </c>
      <c r="B157" t="s">
        <v>72</v>
      </c>
      <c r="C157" t="s">
        <v>45</v>
      </c>
      <c r="D157" s="1">
        <v>45328</v>
      </c>
      <c r="E157" s="1">
        <v>45342</v>
      </c>
      <c r="F157" s="16">
        <f t="shared" si="6"/>
        <v>14</v>
      </c>
      <c r="G157">
        <v>21215</v>
      </c>
      <c r="H157" t="s">
        <v>41</v>
      </c>
      <c r="I157">
        <v>181</v>
      </c>
      <c r="J157">
        <v>9</v>
      </c>
      <c r="K157">
        <v>7</v>
      </c>
      <c r="L157" s="11">
        <f t="shared" si="7"/>
        <v>3.8674033149171269E-2</v>
      </c>
      <c r="M157" t="s">
        <v>357</v>
      </c>
      <c r="N157">
        <v>73</v>
      </c>
      <c r="O157">
        <v>24887</v>
      </c>
      <c r="P157">
        <v>56</v>
      </c>
      <c r="Q157">
        <v>78</v>
      </c>
      <c r="R157" s="6">
        <f t="shared" si="8"/>
        <v>22</v>
      </c>
      <c r="S157">
        <v>3</v>
      </c>
      <c r="T157">
        <v>90</v>
      </c>
      <c r="U157">
        <v>93</v>
      </c>
      <c r="V157" t="s">
        <v>35</v>
      </c>
      <c r="W157" t="s">
        <v>31</v>
      </c>
      <c r="X157">
        <v>50</v>
      </c>
      <c r="Y157">
        <v>24</v>
      </c>
      <c r="Z157">
        <v>25</v>
      </c>
      <c r="AA157">
        <v>30</v>
      </c>
      <c r="AB157">
        <v>32317</v>
      </c>
    </row>
    <row r="158" spans="1:28" x14ac:dyDescent="0.3">
      <c r="A158" t="s">
        <v>358</v>
      </c>
      <c r="B158" t="s">
        <v>26</v>
      </c>
      <c r="C158" t="s">
        <v>48</v>
      </c>
      <c r="D158" s="1">
        <v>45299</v>
      </c>
      <c r="E158" s="1">
        <v>45354</v>
      </c>
      <c r="F158" s="16">
        <f t="shared" si="6"/>
        <v>55</v>
      </c>
      <c r="G158">
        <v>9501</v>
      </c>
      <c r="H158" t="s">
        <v>52</v>
      </c>
      <c r="I158">
        <v>67</v>
      </c>
      <c r="J158">
        <v>12</v>
      </c>
      <c r="K158">
        <v>4</v>
      </c>
      <c r="L158" s="11">
        <f t="shared" si="7"/>
        <v>5.9701492537313432E-2</v>
      </c>
      <c r="M158" t="s">
        <v>359</v>
      </c>
      <c r="N158">
        <v>13</v>
      </c>
      <c r="O158">
        <v>16110</v>
      </c>
      <c r="P158">
        <v>57</v>
      </c>
      <c r="Q158">
        <v>84</v>
      </c>
      <c r="R158" s="6">
        <f t="shared" si="8"/>
        <v>27</v>
      </c>
      <c r="S158">
        <v>5</v>
      </c>
      <c r="T158">
        <v>76</v>
      </c>
      <c r="U158">
        <v>80</v>
      </c>
      <c r="V158" t="s">
        <v>35</v>
      </c>
      <c r="W158" t="s">
        <v>43</v>
      </c>
      <c r="X158">
        <v>29</v>
      </c>
      <c r="Y158">
        <v>16</v>
      </c>
      <c r="Z158">
        <v>2</v>
      </c>
      <c r="AA158">
        <v>30</v>
      </c>
      <c r="AB158">
        <v>117894</v>
      </c>
    </row>
    <row r="159" spans="1:28" x14ac:dyDescent="0.3">
      <c r="A159" t="s">
        <v>360</v>
      </c>
      <c r="B159" t="s">
        <v>37</v>
      </c>
      <c r="C159" t="s">
        <v>86</v>
      </c>
      <c r="D159" s="1">
        <v>45639</v>
      </c>
      <c r="E159" s="1">
        <v>45686</v>
      </c>
      <c r="F159" s="16">
        <f t="shared" si="6"/>
        <v>47</v>
      </c>
      <c r="G159">
        <v>16103</v>
      </c>
      <c r="H159" t="s">
        <v>41</v>
      </c>
      <c r="I159">
        <v>95</v>
      </c>
      <c r="J159">
        <v>10</v>
      </c>
      <c r="K159">
        <v>1</v>
      </c>
      <c r="L159" s="11">
        <f t="shared" si="7"/>
        <v>1.0526315789473684E-2</v>
      </c>
      <c r="M159" t="s">
        <v>361</v>
      </c>
      <c r="N159">
        <v>63</v>
      </c>
      <c r="O159">
        <v>23804</v>
      </c>
      <c r="P159">
        <v>82</v>
      </c>
      <c r="Q159">
        <v>86</v>
      </c>
      <c r="R159" s="6">
        <f t="shared" si="8"/>
        <v>4</v>
      </c>
      <c r="S159">
        <v>2</v>
      </c>
      <c r="T159">
        <v>86</v>
      </c>
      <c r="U159">
        <v>64</v>
      </c>
      <c r="V159" t="s">
        <v>35</v>
      </c>
      <c r="W159" t="s">
        <v>31</v>
      </c>
      <c r="X159">
        <v>34</v>
      </c>
      <c r="Y159">
        <v>7</v>
      </c>
      <c r="Z159">
        <v>0</v>
      </c>
      <c r="AA159">
        <v>30</v>
      </c>
      <c r="AB159">
        <v>33685</v>
      </c>
    </row>
    <row r="160" spans="1:28" x14ac:dyDescent="0.3">
      <c r="A160" t="s">
        <v>362</v>
      </c>
      <c r="B160" t="s">
        <v>77</v>
      </c>
      <c r="C160" t="s">
        <v>60</v>
      </c>
      <c r="D160" s="1">
        <v>45629</v>
      </c>
      <c r="E160" s="1">
        <v>45675</v>
      </c>
      <c r="F160" s="16">
        <f t="shared" si="6"/>
        <v>46</v>
      </c>
      <c r="G160">
        <v>22584</v>
      </c>
      <c r="H160" t="s">
        <v>41</v>
      </c>
      <c r="I160">
        <v>140</v>
      </c>
      <c r="J160">
        <v>20</v>
      </c>
      <c r="K160">
        <v>17</v>
      </c>
      <c r="L160" s="11">
        <f t="shared" si="7"/>
        <v>0.12142857142857143</v>
      </c>
      <c r="M160" t="s">
        <v>363</v>
      </c>
      <c r="N160">
        <v>32</v>
      </c>
      <c r="O160">
        <v>11699</v>
      </c>
      <c r="P160">
        <v>49</v>
      </c>
      <c r="Q160">
        <v>52</v>
      </c>
      <c r="R160" s="6">
        <f t="shared" si="8"/>
        <v>3</v>
      </c>
      <c r="S160">
        <v>2</v>
      </c>
      <c r="T160">
        <v>99</v>
      </c>
      <c r="U160">
        <v>92</v>
      </c>
      <c r="V160" t="s">
        <v>35</v>
      </c>
      <c r="W160" t="s">
        <v>31</v>
      </c>
      <c r="X160">
        <v>51</v>
      </c>
      <c r="Y160">
        <v>11</v>
      </c>
      <c r="Z160">
        <v>2</v>
      </c>
      <c r="AA160">
        <v>30</v>
      </c>
      <c r="AB160">
        <v>63350</v>
      </c>
    </row>
    <row r="161" spans="1:28" x14ac:dyDescent="0.3">
      <c r="A161" t="s">
        <v>364</v>
      </c>
      <c r="B161" t="s">
        <v>37</v>
      </c>
      <c r="C161" t="s">
        <v>51</v>
      </c>
      <c r="D161" s="1">
        <v>45707</v>
      </c>
      <c r="E161" s="1">
        <v>45721</v>
      </c>
      <c r="F161" s="16">
        <f t="shared" si="6"/>
        <v>14</v>
      </c>
      <c r="G161">
        <v>15876</v>
      </c>
      <c r="H161" t="s">
        <v>52</v>
      </c>
      <c r="I161">
        <v>56</v>
      </c>
      <c r="J161">
        <v>15</v>
      </c>
      <c r="K161">
        <v>3</v>
      </c>
      <c r="L161" s="11">
        <f t="shared" si="7"/>
        <v>5.3571428571428568E-2</v>
      </c>
      <c r="M161" t="s">
        <v>365</v>
      </c>
      <c r="N161">
        <v>22</v>
      </c>
      <c r="O161">
        <v>4752</v>
      </c>
      <c r="P161">
        <v>42</v>
      </c>
      <c r="Q161">
        <v>42</v>
      </c>
      <c r="R161" s="6">
        <f t="shared" si="8"/>
        <v>0</v>
      </c>
      <c r="S161">
        <v>4</v>
      </c>
      <c r="T161">
        <v>83</v>
      </c>
      <c r="U161">
        <v>77</v>
      </c>
      <c r="V161" t="s">
        <v>35</v>
      </c>
      <c r="W161" t="s">
        <v>31</v>
      </c>
      <c r="X161">
        <v>41</v>
      </c>
      <c r="Y161">
        <v>12</v>
      </c>
      <c r="Z161">
        <v>16</v>
      </c>
      <c r="AA161">
        <v>30</v>
      </c>
      <c r="AB161">
        <v>88427</v>
      </c>
    </row>
    <row r="162" spans="1:28" x14ac:dyDescent="0.3">
      <c r="A162" t="s">
        <v>366</v>
      </c>
      <c r="B162" t="s">
        <v>67</v>
      </c>
      <c r="C162" t="s">
        <v>27</v>
      </c>
      <c r="D162" s="1">
        <v>45304</v>
      </c>
      <c r="E162" s="1">
        <v>45348</v>
      </c>
      <c r="F162" s="16">
        <f t="shared" si="6"/>
        <v>44</v>
      </c>
      <c r="G162">
        <v>45729</v>
      </c>
      <c r="H162" t="s">
        <v>28</v>
      </c>
      <c r="I162">
        <v>123</v>
      </c>
      <c r="J162">
        <v>7</v>
      </c>
      <c r="K162">
        <v>7</v>
      </c>
      <c r="L162" s="11">
        <f t="shared" si="7"/>
        <v>5.6910569105691054E-2</v>
      </c>
      <c r="M162" t="s">
        <v>367</v>
      </c>
      <c r="N162">
        <v>58</v>
      </c>
      <c r="O162">
        <v>8448</v>
      </c>
      <c r="P162">
        <v>60</v>
      </c>
      <c r="Q162">
        <v>66</v>
      </c>
      <c r="R162" s="6">
        <f t="shared" si="8"/>
        <v>6</v>
      </c>
      <c r="S162">
        <v>5</v>
      </c>
      <c r="T162">
        <v>97</v>
      </c>
      <c r="U162">
        <v>65</v>
      </c>
      <c r="V162" t="s">
        <v>35</v>
      </c>
      <c r="W162" t="s">
        <v>43</v>
      </c>
      <c r="X162">
        <v>41</v>
      </c>
      <c r="Y162">
        <v>13</v>
      </c>
      <c r="Z162">
        <v>2</v>
      </c>
      <c r="AA162">
        <v>30</v>
      </c>
      <c r="AB162">
        <v>30090</v>
      </c>
    </row>
    <row r="163" spans="1:28" x14ac:dyDescent="0.3">
      <c r="A163" t="s">
        <v>368</v>
      </c>
      <c r="B163" t="s">
        <v>55</v>
      </c>
      <c r="C163" t="s">
        <v>60</v>
      </c>
      <c r="D163" s="1">
        <v>45602</v>
      </c>
      <c r="E163" s="1">
        <v>45631</v>
      </c>
      <c r="F163" s="16">
        <f t="shared" si="6"/>
        <v>29</v>
      </c>
      <c r="G163">
        <v>7046</v>
      </c>
      <c r="H163" t="s">
        <v>52</v>
      </c>
      <c r="I163">
        <v>198</v>
      </c>
      <c r="J163">
        <v>16</v>
      </c>
      <c r="K163">
        <v>9</v>
      </c>
      <c r="L163" s="11">
        <f t="shared" si="7"/>
        <v>4.5454545454545456E-2</v>
      </c>
      <c r="M163" t="s">
        <v>369</v>
      </c>
      <c r="N163">
        <v>67</v>
      </c>
      <c r="O163">
        <v>13158</v>
      </c>
      <c r="P163">
        <v>57</v>
      </c>
      <c r="Q163">
        <v>59</v>
      </c>
      <c r="R163" s="6">
        <f t="shared" si="8"/>
        <v>2</v>
      </c>
      <c r="S163">
        <v>2</v>
      </c>
      <c r="T163">
        <v>75</v>
      </c>
      <c r="U163">
        <v>70</v>
      </c>
      <c r="V163" t="s">
        <v>35</v>
      </c>
      <c r="W163" t="s">
        <v>31</v>
      </c>
      <c r="X163">
        <v>56</v>
      </c>
      <c r="Y163">
        <v>6</v>
      </c>
      <c r="Z163">
        <v>24</v>
      </c>
      <c r="AA163">
        <v>30</v>
      </c>
      <c r="AB163">
        <v>41784</v>
      </c>
    </row>
    <row r="164" spans="1:28" x14ac:dyDescent="0.3">
      <c r="A164" t="s">
        <v>370</v>
      </c>
      <c r="B164" t="s">
        <v>37</v>
      </c>
      <c r="C164" t="s">
        <v>45</v>
      </c>
      <c r="D164" s="1">
        <v>45359</v>
      </c>
      <c r="E164" s="1">
        <v>45394</v>
      </c>
      <c r="F164" s="16">
        <f t="shared" si="6"/>
        <v>35</v>
      </c>
      <c r="G164">
        <v>47308</v>
      </c>
      <c r="H164" t="s">
        <v>38</v>
      </c>
      <c r="I164">
        <v>73</v>
      </c>
      <c r="J164">
        <v>5</v>
      </c>
      <c r="K164">
        <v>3</v>
      </c>
      <c r="L164" s="11">
        <f t="shared" si="7"/>
        <v>4.1095890410958902E-2</v>
      </c>
      <c r="M164" t="s">
        <v>371</v>
      </c>
      <c r="N164">
        <v>66</v>
      </c>
      <c r="O164">
        <v>4721</v>
      </c>
      <c r="P164">
        <v>54</v>
      </c>
      <c r="Q164">
        <v>74</v>
      </c>
      <c r="R164" s="6">
        <f t="shared" si="8"/>
        <v>20</v>
      </c>
      <c r="S164">
        <v>1</v>
      </c>
      <c r="T164">
        <v>81</v>
      </c>
      <c r="U164">
        <v>72</v>
      </c>
      <c r="V164" t="s">
        <v>30</v>
      </c>
      <c r="W164" t="s">
        <v>31</v>
      </c>
      <c r="X164">
        <v>44</v>
      </c>
      <c r="Y164">
        <v>10</v>
      </c>
      <c r="Z164">
        <v>24</v>
      </c>
      <c r="AA164">
        <v>30</v>
      </c>
      <c r="AB164">
        <v>43923</v>
      </c>
    </row>
    <row r="165" spans="1:28" x14ac:dyDescent="0.3">
      <c r="A165" t="s">
        <v>372</v>
      </c>
      <c r="B165" t="s">
        <v>72</v>
      </c>
      <c r="C165" t="s">
        <v>27</v>
      </c>
      <c r="D165" s="1">
        <v>45361</v>
      </c>
      <c r="E165" s="1">
        <v>45411</v>
      </c>
      <c r="F165" s="16">
        <f t="shared" si="6"/>
        <v>50</v>
      </c>
      <c r="G165">
        <v>17605</v>
      </c>
      <c r="H165" t="s">
        <v>52</v>
      </c>
      <c r="I165">
        <v>161</v>
      </c>
      <c r="J165">
        <v>5</v>
      </c>
      <c r="K165">
        <v>2</v>
      </c>
      <c r="L165" s="11">
        <f t="shared" si="7"/>
        <v>1.2422360248447204E-2</v>
      </c>
      <c r="M165" t="s">
        <v>373</v>
      </c>
      <c r="N165">
        <v>77</v>
      </c>
      <c r="O165">
        <v>9273</v>
      </c>
      <c r="P165">
        <v>43</v>
      </c>
      <c r="Q165">
        <v>53</v>
      </c>
      <c r="R165" s="6">
        <f t="shared" si="8"/>
        <v>10</v>
      </c>
      <c r="S165">
        <v>4</v>
      </c>
      <c r="T165">
        <v>86</v>
      </c>
      <c r="U165">
        <v>93</v>
      </c>
      <c r="V165" t="s">
        <v>30</v>
      </c>
      <c r="W165" t="s">
        <v>31</v>
      </c>
      <c r="X165">
        <v>49</v>
      </c>
      <c r="Y165">
        <v>9</v>
      </c>
      <c r="Z165">
        <v>10</v>
      </c>
      <c r="AA165">
        <v>30</v>
      </c>
      <c r="AB165">
        <v>57868</v>
      </c>
    </row>
    <row r="166" spans="1:28" x14ac:dyDescent="0.3">
      <c r="A166" t="s">
        <v>374</v>
      </c>
      <c r="B166" t="s">
        <v>26</v>
      </c>
      <c r="C166" t="s">
        <v>45</v>
      </c>
      <c r="D166" s="1">
        <v>45321</v>
      </c>
      <c r="E166" s="1">
        <v>45380</v>
      </c>
      <c r="F166" s="16">
        <f t="shared" si="6"/>
        <v>59</v>
      </c>
      <c r="G166">
        <v>30604</v>
      </c>
      <c r="H166" t="s">
        <v>52</v>
      </c>
      <c r="I166">
        <v>190</v>
      </c>
      <c r="J166">
        <v>8</v>
      </c>
      <c r="K166">
        <v>6</v>
      </c>
      <c r="L166" s="11">
        <f t="shared" si="7"/>
        <v>3.1578947368421054E-2</v>
      </c>
      <c r="M166" t="s">
        <v>375</v>
      </c>
      <c r="N166">
        <v>6</v>
      </c>
      <c r="O166">
        <v>18800</v>
      </c>
      <c r="P166">
        <v>54</v>
      </c>
      <c r="Q166">
        <v>76</v>
      </c>
      <c r="R166" s="6">
        <f t="shared" si="8"/>
        <v>22</v>
      </c>
      <c r="S166">
        <v>5</v>
      </c>
      <c r="T166">
        <v>86</v>
      </c>
      <c r="U166">
        <v>68</v>
      </c>
      <c r="V166" t="s">
        <v>35</v>
      </c>
      <c r="W166" t="s">
        <v>31</v>
      </c>
      <c r="X166">
        <v>41</v>
      </c>
      <c r="Y166">
        <v>10</v>
      </c>
      <c r="Z166">
        <v>2</v>
      </c>
      <c r="AA166">
        <v>30</v>
      </c>
      <c r="AB166">
        <v>58545</v>
      </c>
    </row>
    <row r="167" spans="1:28" x14ac:dyDescent="0.3">
      <c r="A167" t="s">
        <v>376</v>
      </c>
      <c r="B167" t="s">
        <v>72</v>
      </c>
      <c r="C167" t="s">
        <v>48</v>
      </c>
      <c r="D167" s="1">
        <v>45564</v>
      </c>
      <c r="E167" s="1">
        <v>45613</v>
      </c>
      <c r="F167" s="16">
        <f t="shared" si="6"/>
        <v>49</v>
      </c>
      <c r="G167">
        <v>49460</v>
      </c>
      <c r="H167" t="s">
        <v>52</v>
      </c>
      <c r="I167">
        <v>175</v>
      </c>
      <c r="J167">
        <v>8</v>
      </c>
      <c r="K167">
        <v>4</v>
      </c>
      <c r="L167" s="11">
        <f t="shared" si="7"/>
        <v>2.2857142857142857E-2</v>
      </c>
      <c r="M167" t="s">
        <v>377</v>
      </c>
      <c r="N167">
        <v>33</v>
      </c>
      <c r="O167">
        <v>25946</v>
      </c>
      <c r="P167">
        <v>62</v>
      </c>
      <c r="Q167">
        <v>85</v>
      </c>
      <c r="R167" s="6">
        <f t="shared" si="8"/>
        <v>23</v>
      </c>
      <c r="S167">
        <v>4</v>
      </c>
      <c r="T167">
        <v>92</v>
      </c>
      <c r="U167">
        <v>78</v>
      </c>
      <c r="V167" t="s">
        <v>30</v>
      </c>
      <c r="W167" t="s">
        <v>31</v>
      </c>
      <c r="X167">
        <v>58</v>
      </c>
      <c r="Y167">
        <v>1</v>
      </c>
      <c r="Z167">
        <v>16</v>
      </c>
      <c r="AA167">
        <v>30</v>
      </c>
      <c r="AB167">
        <v>68087</v>
      </c>
    </row>
    <row r="168" spans="1:28" x14ac:dyDescent="0.3">
      <c r="A168" t="s">
        <v>378</v>
      </c>
      <c r="B168" t="s">
        <v>67</v>
      </c>
      <c r="C168" t="s">
        <v>60</v>
      </c>
      <c r="D168" s="1">
        <v>45556</v>
      </c>
      <c r="E168" s="1">
        <v>45566</v>
      </c>
      <c r="F168" s="16">
        <f t="shared" si="6"/>
        <v>10</v>
      </c>
      <c r="G168">
        <v>30369</v>
      </c>
      <c r="H168" t="s">
        <v>52</v>
      </c>
      <c r="I168">
        <v>31</v>
      </c>
      <c r="J168">
        <v>4</v>
      </c>
      <c r="K168">
        <v>1</v>
      </c>
      <c r="L168" s="11">
        <f t="shared" si="7"/>
        <v>3.2258064516129031E-2</v>
      </c>
      <c r="M168" t="s">
        <v>379</v>
      </c>
      <c r="N168">
        <v>0</v>
      </c>
      <c r="O168">
        <v>23562</v>
      </c>
      <c r="P168">
        <v>47</v>
      </c>
      <c r="Q168">
        <v>49</v>
      </c>
      <c r="R168" s="6">
        <f t="shared" si="8"/>
        <v>2</v>
      </c>
      <c r="S168">
        <v>2</v>
      </c>
      <c r="T168">
        <v>97</v>
      </c>
      <c r="U168">
        <v>71</v>
      </c>
      <c r="V168" t="s">
        <v>35</v>
      </c>
      <c r="W168" t="s">
        <v>43</v>
      </c>
      <c r="X168">
        <v>46</v>
      </c>
      <c r="Y168">
        <v>7</v>
      </c>
      <c r="Z168">
        <v>13</v>
      </c>
      <c r="AA168">
        <v>30</v>
      </c>
      <c r="AB168">
        <v>109034</v>
      </c>
    </row>
    <row r="169" spans="1:28" x14ac:dyDescent="0.3">
      <c r="A169" t="s">
        <v>380</v>
      </c>
      <c r="B169" t="s">
        <v>37</v>
      </c>
      <c r="C169" t="s">
        <v>27</v>
      </c>
      <c r="D169" s="1">
        <v>45565</v>
      </c>
      <c r="E169" s="1">
        <v>45592</v>
      </c>
      <c r="F169" s="16">
        <f t="shared" si="6"/>
        <v>27</v>
      </c>
      <c r="G169">
        <v>10398</v>
      </c>
      <c r="H169" t="s">
        <v>28</v>
      </c>
      <c r="I169">
        <v>15</v>
      </c>
      <c r="J169">
        <v>13</v>
      </c>
      <c r="K169">
        <v>7</v>
      </c>
      <c r="L169" s="11">
        <f t="shared" si="7"/>
        <v>0.46666666666666667</v>
      </c>
      <c r="M169" t="s">
        <v>381</v>
      </c>
      <c r="N169">
        <v>35</v>
      </c>
      <c r="O169">
        <v>3105</v>
      </c>
      <c r="P169">
        <v>64</v>
      </c>
      <c r="Q169">
        <v>68</v>
      </c>
      <c r="R169" s="6">
        <f t="shared" si="8"/>
        <v>4</v>
      </c>
      <c r="S169">
        <v>3</v>
      </c>
      <c r="T169">
        <v>87</v>
      </c>
      <c r="U169">
        <v>69</v>
      </c>
      <c r="V169" t="s">
        <v>35</v>
      </c>
      <c r="W169" t="s">
        <v>43</v>
      </c>
      <c r="X169">
        <v>37</v>
      </c>
      <c r="Y169">
        <v>17</v>
      </c>
      <c r="Z169">
        <v>17</v>
      </c>
      <c r="AA169">
        <v>30</v>
      </c>
      <c r="AB169">
        <v>98853</v>
      </c>
    </row>
    <row r="170" spans="1:28" x14ac:dyDescent="0.3">
      <c r="A170" t="s">
        <v>382</v>
      </c>
      <c r="B170" t="s">
        <v>37</v>
      </c>
      <c r="C170" t="s">
        <v>86</v>
      </c>
      <c r="D170" s="1">
        <v>45587</v>
      </c>
      <c r="E170" s="1">
        <v>45644</v>
      </c>
      <c r="F170" s="16">
        <f t="shared" si="6"/>
        <v>57</v>
      </c>
      <c r="G170">
        <v>29548</v>
      </c>
      <c r="H170" t="s">
        <v>41</v>
      </c>
      <c r="I170">
        <v>75</v>
      </c>
      <c r="J170">
        <v>7</v>
      </c>
      <c r="K170">
        <v>4</v>
      </c>
      <c r="L170" s="11">
        <f t="shared" si="7"/>
        <v>5.3333333333333337E-2</v>
      </c>
      <c r="M170" t="s">
        <v>383</v>
      </c>
      <c r="N170">
        <v>78</v>
      </c>
      <c r="O170">
        <v>12674</v>
      </c>
      <c r="P170">
        <v>54</v>
      </c>
      <c r="Q170">
        <v>68</v>
      </c>
      <c r="R170" s="6">
        <f t="shared" si="8"/>
        <v>14</v>
      </c>
      <c r="S170">
        <v>3</v>
      </c>
      <c r="T170">
        <v>78</v>
      </c>
      <c r="U170">
        <v>83</v>
      </c>
      <c r="V170" t="s">
        <v>35</v>
      </c>
      <c r="W170" t="s">
        <v>43</v>
      </c>
      <c r="X170">
        <v>55</v>
      </c>
      <c r="Y170">
        <v>13</v>
      </c>
      <c r="Z170">
        <v>5</v>
      </c>
      <c r="AA170">
        <v>30</v>
      </c>
      <c r="AB170">
        <v>75680</v>
      </c>
    </row>
    <row r="171" spans="1:28" x14ac:dyDescent="0.3">
      <c r="A171" t="s">
        <v>384</v>
      </c>
      <c r="B171" t="s">
        <v>72</v>
      </c>
      <c r="C171" t="s">
        <v>45</v>
      </c>
      <c r="D171" s="1">
        <v>45647</v>
      </c>
      <c r="E171" s="1">
        <v>45660</v>
      </c>
      <c r="F171" s="16">
        <f t="shared" si="6"/>
        <v>13</v>
      </c>
      <c r="G171">
        <v>24469</v>
      </c>
      <c r="H171" t="s">
        <v>38</v>
      </c>
      <c r="I171">
        <v>128</v>
      </c>
      <c r="J171">
        <v>17</v>
      </c>
      <c r="K171">
        <v>6</v>
      </c>
      <c r="L171" s="11">
        <f t="shared" si="7"/>
        <v>4.6875E-2</v>
      </c>
      <c r="M171" t="s">
        <v>385</v>
      </c>
      <c r="N171">
        <v>76</v>
      </c>
      <c r="O171">
        <v>19196</v>
      </c>
      <c r="P171">
        <v>82</v>
      </c>
      <c r="Q171">
        <v>85</v>
      </c>
      <c r="R171" s="6">
        <f t="shared" si="8"/>
        <v>3</v>
      </c>
      <c r="S171">
        <v>4</v>
      </c>
      <c r="T171">
        <v>95</v>
      </c>
      <c r="U171">
        <v>51</v>
      </c>
      <c r="V171" t="s">
        <v>30</v>
      </c>
      <c r="W171" t="s">
        <v>31</v>
      </c>
      <c r="X171">
        <v>36</v>
      </c>
      <c r="Y171">
        <v>21</v>
      </c>
      <c r="Z171">
        <v>9</v>
      </c>
      <c r="AA171">
        <v>30</v>
      </c>
      <c r="AB171">
        <v>116475</v>
      </c>
    </row>
    <row r="172" spans="1:28" x14ac:dyDescent="0.3">
      <c r="A172" t="s">
        <v>386</v>
      </c>
      <c r="B172" t="s">
        <v>72</v>
      </c>
      <c r="C172" t="s">
        <v>48</v>
      </c>
      <c r="D172" s="1">
        <v>45656</v>
      </c>
      <c r="E172" s="1">
        <v>45713</v>
      </c>
      <c r="F172" s="16">
        <f t="shared" si="6"/>
        <v>57</v>
      </c>
      <c r="G172">
        <v>26854</v>
      </c>
      <c r="H172" t="s">
        <v>38</v>
      </c>
      <c r="I172">
        <v>188</v>
      </c>
      <c r="J172">
        <v>10</v>
      </c>
      <c r="K172">
        <v>6</v>
      </c>
      <c r="L172" s="11">
        <f t="shared" si="7"/>
        <v>3.1914893617021274E-2</v>
      </c>
      <c r="M172" t="s">
        <v>387</v>
      </c>
      <c r="N172">
        <v>75</v>
      </c>
      <c r="O172">
        <v>14260</v>
      </c>
      <c r="P172">
        <v>50</v>
      </c>
      <c r="Q172">
        <v>55</v>
      </c>
      <c r="R172" s="6">
        <f t="shared" si="8"/>
        <v>5</v>
      </c>
      <c r="S172">
        <v>5</v>
      </c>
      <c r="T172">
        <v>75</v>
      </c>
      <c r="U172">
        <v>53</v>
      </c>
      <c r="V172" t="s">
        <v>35</v>
      </c>
      <c r="W172" t="s">
        <v>31</v>
      </c>
      <c r="X172">
        <v>31</v>
      </c>
      <c r="Y172">
        <v>14</v>
      </c>
      <c r="Z172">
        <v>12</v>
      </c>
      <c r="AA172">
        <v>30</v>
      </c>
      <c r="AB172">
        <v>90183</v>
      </c>
    </row>
    <row r="173" spans="1:28" x14ac:dyDescent="0.3">
      <c r="A173" t="s">
        <v>388</v>
      </c>
      <c r="B173" t="s">
        <v>72</v>
      </c>
      <c r="C173" t="s">
        <v>51</v>
      </c>
      <c r="D173" s="1">
        <v>45434</v>
      </c>
      <c r="E173" s="1">
        <v>45464</v>
      </c>
      <c r="F173" s="16">
        <f t="shared" si="6"/>
        <v>30</v>
      </c>
      <c r="G173">
        <v>14095</v>
      </c>
      <c r="H173" t="s">
        <v>41</v>
      </c>
      <c r="I173">
        <v>116</v>
      </c>
      <c r="J173">
        <v>6</v>
      </c>
      <c r="K173">
        <v>4</v>
      </c>
      <c r="L173" s="11">
        <f t="shared" si="7"/>
        <v>3.4482758620689655E-2</v>
      </c>
      <c r="M173" t="s">
        <v>389</v>
      </c>
      <c r="N173">
        <v>42</v>
      </c>
      <c r="O173">
        <v>22993</v>
      </c>
      <c r="P173">
        <v>58</v>
      </c>
      <c r="Q173">
        <v>60</v>
      </c>
      <c r="R173" s="6">
        <f t="shared" si="8"/>
        <v>2</v>
      </c>
      <c r="S173">
        <v>4</v>
      </c>
      <c r="T173">
        <v>79</v>
      </c>
      <c r="U173">
        <v>89</v>
      </c>
      <c r="V173" t="s">
        <v>30</v>
      </c>
      <c r="W173" t="s">
        <v>43</v>
      </c>
      <c r="X173">
        <v>58</v>
      </c>
      <c r="Y173">
        <v>10</v>
      </c>
      <c r="Z173">
        <v>17</v>
      </c>
      <c r="AA173">
        <v>30</v>
      </c>
      <c r="AB173">
        <v>97877</v>
      </c>
    </row>
    <row r="174" spans="1:28" x14ac:dyDescent="0.3">
      <c r="A174" t="s">
        <v>390</v>
      </c>
      <c r="B174" t="s">
        <v>26</v>
      </c>
      <c r="C174" t="s">
        <v>51</v>
      </c>
      <c r="D174" s="1">
        <v>45323</v>
      </c>
      <c r="E174" s="1">
        <v>45366</v>
      </c>
      <c r="F174" s="16">
        <f t="shared" si="6"/>
        <v>43</v>
      </c>
      <c r="G174">
        <v>37598</v>
      </c>
      <c r="H174" t="s">
        <v>33</v>
      </c>
      <c r="I174">
        <v>30</v>
      </c>
      <c r="J174">
        <v>17</v>
      </c>
      <c r="K174">
        <v>3</v>
      </c>
      <c r="L174" s="11">
        <f t="shared" si="7"/>
        <v>0.1</v>
      </c>
      <c r="M174" t="s">
        <v>391</v>
      </c>
      <c r="N174">
        <v>11</v>
      </c>
      <c r="O174">
        <v>27991</v>
      </c>
      <c r="P174">
        <v>65</v>
      </c>
      <c r="Q174">
        <v>65</v>
      </c>
      <c r="R174" s="6">
        <f t="shared" si="8"/>
        <v>0</v>
      </c>
      <c r="S174">
        <v>2</v>
      </c>
      <c r="T174">
        <v>85</v>
      </c>
      <c r="U174">
        <v>67</v>
      </c>
      <c r="V174" t="s">
        <v>30</v>
      </c>
      <c r="W174" t="s">
        <v>31</v>
      </c>
      <c r="X174">
        <v>37</v>
      </c>
      <c r="Y174">
        <v>9</v>
      </c>
      <c r="Z174">
        <v>3</v>
      </c>
      <c r="AA174">
        <v>30</v>
      </c>
      <c r="AB174">
        <v>45376</v>
      </c>
    </row>
    <row r="175" spans="1:28" x14ac:dyDescent="0.3">
      <c r="A175" t="s">
        <v>392</v>
      </c>
      <c r="B175" t="s">
        <v>26</v>
      </c>
      <c r="C175" t="s">
        <v>51</v>
      </c>
      <c r="D175" s="1">
        <v>45516</v>
      </c>
      <c r="E175" s="1">
        <v>45542</v>
      </c>
      <c r="F175" s="16">
        <f t="shared" si="6"/>
        <v>26</v>
      </c>
      <c r="G175">
        <v>42962</v>
      </c>
      <c r="H175" t="s">
        <v>52</v>
      </c>
      <c r="I175">
        <v>79</v>
      </c>
      <c r="J175">
        <v>9</v>
      </c>
      <c r="K175">
        <v>8</v>
      </c>
      <c r="L175" s="11">
        <f t="shared" si="7"/>
        <v>0.10126582278481013</v>
      </c>
      <c r="M175" t="s">
        <v>393</v>
      </c>
      <c r="N175">
        <v>21</v>
      </c>
      <c r="O175">
        <v>13503</v>
      </c>
      <c r="P175">
        <v>66</v>
      </c>
      <c r="Q175">
        <v>70</v>
      </c>
      <c r="R175" s="6">
        <f t="shared" si="8"/>
        <v>4</v>
      </c>
      <c r="S175">
        <v>5</v>
      </c>
      <c r="T175">
        <v>93</v>
      </c>
      <c r="U175">
        <v>73</v>
      </c>
      <c r="V175" t="s">
        <v>35</v>
      </c>
      <c r="W175" t="s">
        <v>31</v>
      </c>
      <c r="X175">
        <v>51</v>
      </c>
      <c r="Y175">
        <v>5</v>
      </c>
      <c r="Z175">
        <v>16</v>
      </c>
      <c r="AA175">
        <v>30</v>
      </c>
      <c r="AB175">
        <v>80721</v>
      </c>
    </row>
    <row r="176" spans="1:28" x14ac:dyDescent="0.3">
      <c r="A176" t="s">
        <v>394</v>
      </c>
      <c r="B176" t="s">
        <v>26</v>
      </c>
      <c r="C176" t="s">
        <v>48</v>
      </c>
      <c r="D176" s="1">
        <v>45597</v>
      </c>
      <c r="E176" s="1">
        <v>45642</v>
      </c>
      <c r="F176" s="16">
        <f t="shared" si="6"/>
        <v>45</v>
      </c>
      <c r="G176">
        <v>47442</v>
      </c>
      <c r="H176" t="s">
        <v>41</v>
      </c>
      <c r="I176">
        <v>106</v>
      </c>
      <c r="J176">
        <v>8</v>
      </c>
      <c r="K176">
        <v>5</v>
      </c>
      <c r="L176" s="11">
        <f t="shared" si="7"/>
        <v>4.716981132075472E-2</v>
      </c>
      <c r="M176" t="s">
        <v>395</v>
      </c>
      <c r="N176">
        <v>56</v>
      </c>
      <c r="O176">
        <v>4987</v>
      </c>
      <c r="P176">
        <v>71</v>
      </c>
      <c r="Q176">
        <v>88</v>
      </c>
      <c r="R176" s="6">
        <f t="shared" si="8"/>
        <v>17</v>
      </c>
      <c r="S176">
        <v>5</v>
      </c>
      <c r="T176">
        <v>90</v>
      </c>
      <c r="U176">
        <v>88</v>
      </c>
      <c r="V176" t="s">
        <v>35</v>
      </c>
      <c r="W176" t="s">
        <v>31</v>
      </c>
      <c r="X176">
        <v>43</v>
      </c>
      <c r="Y176">
        <v>23</v>
      </c>
      <c r="Z176">
        <v>2</v>
      </c>
      <c r="AA176">
        <v>30</v>
      </c>
      <c r="AB176">
        <v>26365</v>
      </c>
    </row>
    <row r="177" spans="1:28" x14ac:dyDescent="0.3">
      <c r="A177" t="s">
        <v>396</v>
      </c>
      <c r="B177" t="s">
        <v>55</v>
      </c>
      <c r="C177" t="s">
        <v>51</v>
      </c>
      <c r="D177" s="1">
        <v>45770</v>
      </c>
      <c r="E177" s="1">
        <v>45802</v>
      </c>
      <c r="F177" s="16">
        <f t="shared" si="6"/>
        <v>32</v>
      </c>
      <c r="G177">
        <v>32962</v>
      </c>
      <c r="H177" t="s">
        <v>52</v>
      </c>
      <c r="I177">
        <v>37</v>
      </c>
      <c r="J177">
        <v>4</v>
      </c>
      <c r="K177">
        <v>1</v>
      </c>
      <c r="L177" s="11">
        <f t="shared" si="7"/>
        <v>2.7027027027027029E-2</v>
      </c>
      <c r="M177" t="s">
        <v>397</v>
      </c>
      <c r="N177">
        <v>15</v>
      </c>
      <c r="O177">
        <v>12938</v>
      </c>
      <c r="P177">
        <v>47</v>
      </c>
      <c r="Q177">
        <v>65</v>
      </c>
      <c r="R177" s="6">
        <f t="shared" si="8"/>
        <v>18</v>
      </c>
      <c r="S177">
        <v>4</v>
      </c>
      <c r="T177">
        <v>89</v>
      </c>
      <c r="U177">
        <v>87</v>
      </c>
      <c r="V177" t="s">
        <v>35</v>
      </c>
      <c r="W177" t="s">
        <v>31</v>
      </c>
      <c r="X177">
        <v>38</v>
      </c>
      <c r="Y177">
        <v>6</v>
      </c>
      <c r="Z177">
        <v>17</v>
      </c>
      <c r="AA177">
        <v>30</v>
      </c>
      <c r="AB177">
        <v>111006</v>
      </c>
    </row>
    <row r="178" spans="1:28" x14ac:dyDescent="0.3">
      <c r="A178" t="s">
        <v>398</v>
      </c>
      <c r="B178" t="s">
        <v>72</v>
      </c>
      <c r="C178" t="s">
        <v>51</v>
      </c>
      <c r="D178" s="1">
        <v>45445</v>
      </c>
      <c r="E178" s="1">
        <v>45474</v>
      </c>
      <c r="F178" s="16">
        <f t="shared" si="6"/>
        <v>29</v>
      </c>
      <c r="G178">
        <v>47469</v>
      </c>
      <c r="H178" t="s">
        <v>33</v>
      </c>
      <c r="I178">
        <v>84</v>
      </c>
      <c r="J178">
        <v>19</v>
      </c>
      <c r="K178">
        <v>2</v>
      </c>
      <c r="L178" s="11">
        <f t="shared" si="7"/>
        <v>2.3809523809523808E-2</v>
      </c>
      <c r="M178" t="s">
        <v>399</v>
      </c>
      <c r="N178">
        <v>39</v>
      </c>
      <c r="O178">
        <v>8309</v>
      </c>
      <c r="P178">
        <v>59</v>
      </c>
      <c r="Q178">
        <v>76</v>
      </c>
      <c r="R178" s="6">
        <f t="shared" si="8"/>
        <v>17</v>
      </c>
      <c r="S178">
        <v>4</v>
      </c>
      <c r="T178">
        <v>81</v>
      </c>
      <c r="U178">
        <v>82</v>
      </c>
      <c r="V178" t="s">
        <v>35</v>
      </c>
      <c r="W178" t="s">
        <v>31</v>
      </c>
      <c r="X178">
        <v>23</v>
      </c>
      <c r="Y178">
        <v>20</v>
      </c>
      <c r="Z178">
        <v>8</v>
      </c>
      <c r="AA178">
        <v>30</v>
      </c>
      <c r="AB178">
        <v>70244</v>
      </c>
    </row>
    <row r="179" spans="1:28" x14ac:dyDescent="0.3">
      <c r="A179" t="s">
        <v>400</v>
      </c>
      <c r="B179" t="s">
        <v>67</v>
      </c>
      <c r="C179" t="s">
        <v>51</v>
      </c>
      <c r="D179" s="1">
        <v>45526</v>
      </c>
      <c r="E179" s="1">
        <v>45561</v>
      </c>
      <c r="F179" s="16">
        <f t="shared" si="6"/>
        <v>35</v>
      </c>
      <c r="G179">
        <v>39438</v>
      </c>
      <c r="H179" t="s">
        <v>28</v>
      </c>
      <c r="I179">
        <v>61</v>
      </c>
      <c r="J179">
        <v>15</v>
      </c>
      <c r="K179">
        <v>14</v>
      </c>
      <c r="L179" s="11">
        <f t="shared" si="7"/>
        <v>0.22950819672131148</v>
      </c>
      <c r="M179" t="s">
        <v>401</v>
      </c>
      <c r="N179">
        <v>76</v>
      </c>
      <c r="O179">
        <v>26911</v>
      </c>
      <c r="P179">
        <v>46</v>
      </c>
      <c r="Q179">
        <v>64</v>
      </c>
      <c r="R179" s="6">
        <f t="shared" si="8"/>
        <v>18</v>
      </c>
      <c r="S179">
        <v>3</v>
      </c>
      <c r="T179">
        <v>100</v>
      </c>
      <c r="U179">
        <v>93</v>
      </c>
      <c r="V179" t="s">
        <v>35</v>
      </c>
      <c r="W179" t="s">
        <v>43</v>
      </c>
      <c r="X179">
        <v>48</v>
      </c>
      <c r="Y179">
        <v>2</v>
      </c>
      <c r="Z179">
        <v>3</v>
      </c>
      <c r="AA179">
        <v>30</v>
      </c>
      <c r="AB179">
        <v>30607</v>
      </c>
    </row>
    <row r="180" spans="1:28" x14ac:dyDescent="0.3">
      <c r="A180" t="s">
        <v>402</v>
      </c>
      <c r="B180" t="s">
        <v>26</v>
      </c>
      <c r="C180" t="s">
        <v>45</v>
      </c>
      <c r="D180" s="1">
        <v>45676</v>
      </c>
      <c r="E180" s="1">
        <v>45710</v>
      </c>
      <c r="F180" s="16">
        <f t="shared" si="6"/>
        <v>34</v>
      </c>
      <c r="G180">
        <v>11673</v>
      </c>
      <c r="H180" t="s">
        <v>41</v>
      </c>
      <c r="I180">
        <v>74</v>
      </c>
      <c r="J180">
        <v>14</v>
      </c>
      <c r="K180">
        <v>2</v>
      </c>
      <c r="L180" s="11">
        <f t="shared" si="7"/>
        <v>2.7027027027027029E-2</v>
      </c>
      <c r="M180" t="s">
        <v>403</v>
      </c>
      <c r="N180">
        <v>56</v>
      </c>
      <c r="O180">
        <v>8624</v>
      </c>
      <c r="P180">
        <v>84</v>
      </c>
      <c r="Q180">
        <v>94</v>
      </c>
      <c r="R180" s="6">
        <f t="shared" si="8"/>
        <v>10</v>
      </c>
      <c r="S180">
        <v>4</v>
      </c>
      <c r="T180">
        <v>87</v>
      </c>
      <c r="U180">
        <v>75</v>
      </c>
      <c r="V180" t="s">
        <v>35</v>
      </c>
      <c r="W180" t="s">
        <v>43</v>
      </c>
      <c r="X180">
        <v>44</v>
      </c>
      <c r="Y180">
        <v>24</v>
      </c>
      <c r="Z180">
        <v>0</v>
      </c>
      <c r="AA180">
        <v>30</v>
      </c>
      <c r="AB180">
        <v>68710</v>
      </c>
    </row>
    <row r="181" spans="1:28" x14ac:dyDescent="0.3">
      <c r="A181" t="s">
        <v>404</v>
      </c>
      <c r="B181" t="s">
        <v>72</v>
      </c>
      <c r="C181" t="s">
        <v>86</v>
      </c>
      <c r="D181" s="1">
        <v>45499</v>
      </c>
      <c r="E181" s="1">
        <v>45519</v>
      </c>
      <c r="F181" s="16">
        <f t="shared" si="6"/>
        <v>20</v>
      </c>
      <c r="G181">
        <v>38521</v>
      </c>
      <c r="H181" t="s">
        <v>52</v>
      </c>
      <c r="I181">
        <v>80</v>
      </c>
      <c r="J181">
        <v>7</v>
      </c>
      <c r="K181">
        <v>5</v>
      </c>
      <c r="L181" s="11">
        <f t="shared" si="7"/>
        <v>6.25E-2</v>
      </c>
      <c r="M181" t="s">
        <v>405</v>
      </c>
      <c r="N181">
        <v>41</v>
      </c>
      <c r="O181">
        <v>29600</v>
      </c>
      <c r="P181">
        <v>40</v>
      </c>
      <c r="Q181">
        <v>40</v>
      </c>
      <c r="R181" s="6">
        <f t="shared" si="8"/>
        <v>0</v>
      </c>
      <c r="S181">
        <v>5</v>
      </c>
      <c r="T181">
        <v>77</v>
      </c>
      <c r="U181">
        <v>88</v>
      </c>
      <c r="V181" t="s">
        <v>35</v>
      </c>
      <c r="W181" t="s">
        <v>31</v>
      </c>
      <c r="X181">
        <v>37</v>
      </c>
      <c r="Y181">
        <v>14</v>
      </c>
      <c r="Z181">
        <v>1</v>
      </c>
      <c r="AA181">
        <v>30</v>
      </c>
      <c r="AB181">
        <v>76244</v>
      </c>
    </row>
    <row r="182" spans="1:28" x14ac:dyDescent="0.3">
      <c r="A182" t="s">
        <v>406</v>
      </c>
      <c r="B182" t="s">
        <v>72</v>
      </c>
      <c r="C182" t="s">
        <v>51</v>
      </c>
      <c r="D182" s="1">
        <v>45443</v>
      </c>
      <c r="E182" s="1">
        <v>45472</v>
      </c>
      <c r="F182" s="16">
        <f t="shared" si="6"/>
        <v>29</v>
      </c>
      <c r="G182">
        <v>32899</v>
      </c>
      <c r="H182" t="s">
        <v>33</v>
      </c>
      <c r="I182">
        <v>44</v>
      </c>
      <c r="J182">
        <v>19</v>
      </c>
      <c r="K182">
        <v>6</v>
      </c>
      <c r="L182" s="11">
        <f t="shared" si="7"/>
        <v>0.13636363636363635</v>
      </c>
      <c r="M182" t="s">
        <v>407</v>
      </c>
      <c r="N182">
        <v>46</v>
      </c>
      <c r="O182">
        <v>28854</v>
      </c>
      <c r="P182">
        <v>56</v>
      </c>
      <c r="Q182">
        <v>79</v>
      </c>
      <c r="R182" s="6">
        <f t="shared" si="8"/>
        <v>23</v>
      </c>
      <c r="S182">
        <v>1</v>
      </c>
      <c r="T182">
        <v>84</v>
      </c>
      <c r="U182">
        <v>98</v>
      </c>
      <c r="V182" t="s">
        <v>35</v>
      </c>
      <c r="W182" t="s">
        <v>31</v>
      </c>
      <c r="X182">
        <v>30</v>
      </c>
      <c r="Y182">
        <v>13</v>
      </c>
      <c r="Z182">
        <v>1</v>
      </c>
      <c r="AA182">
        <v>30</v>
      </c>
      <c r="AB182">
        <v>71444</v>
      </c>
    </row>
    <row r="183" spans="1:28" x14ac:dyDescent="0.3">
      <c r="A183" t="s">
        <v>408</v>
      </c>
      <c r="B183" t="s">
        <v>72</v>
      </c>
      <c r="C183" t="s">
        <v>48</v>
      </c>
      <c r="D183" s="1">
        <v>45646</v>
      </c>
      <c r="E183" s="1">
        <v>45700</v>
      </c>
      <c r="F183" s="16">
        <f t="shared" si="6"/>
        <v>54</v>
      </c>
      <c r="G183">
        <v>47446</v>
      </c>
      <c r="H183" t="s">
        <v>33</v>
      </c>
      <c r="I183">
        <v>28</v>
      </c>
      <c r="J183">
        <v>3</v>
      </c>
      <c r="K183">
        <v>3</v>
      </c>
      <c r="L183" s="11">
        <f t="shared" si="7"/>
        <v>0.10714285714285714</v>
      </c>
      <c r="M183" t="s">
        <v>409</v>
      </c>
      <c r="N183">
        <v>11</v>
      </c>
      <c r="O183">
        <v>28425</v>
      </c>
      <c r="P183">
        <v>58</v>
      </c>
      <c r="Q183">
        <v>61</v>
      </c>
      <c r="R183" s="6">
        <f t="shared" si="8"/>
        <v>3</v>
      </c>
      <c r="S183">
        <v>2</v>
      </c>
      <c r="T183">
        <v>77</v>
      </c>
      <c r="U183">
        <v>56</v>
      </c>
      <c r="V183" t="s">
        <v>35</v>
      </c>
      <c r="W183" t="s">
        <v>31</v>
      </c>
      <c r="X183">
        <v>48</v>
      </c>
      <c r="Y183">
        <v>18</v>
      </c>
      <c r="Z183">
        <v>15</v>
      </c>
      <c r="AA183">
        <v>30</v>
      </c>
      <c r="AB183">
        <v>80213</v>
      </c>
    </row>
    <row r="184" spans="1:28" x14ac:dyDescent="0.3">
      <c r="A184" t="s">
        <v>410</v>
      </c>
      <c r="B184" t="s">
        <v>55</v>
      </c>
      <c r="C184" t="s">
        <v>86</v>
      </c>
      <c r="D184" s="1">
        <v>45745</v>
      </c>
      <c r="E184" s="1">
        <v>45798</v>
      </c>
      <c r="F184" s="16">
        <f t="shared" si="6"/>
        <v>53</v>
      </c>
      <c r="G184">
        <v>10009</v>
      </c>
      <c r="H184" t="s">
        <v>52</v>
      </c>
      <c r="I184">
        <v>146</v>
      </c>
      <c r="J184">
        <v>10</v>
      </c>
      <c r="K184">
        <v>8</v>
      </c>
      <c r="L184" s="11">
        <f t="shared" si="7"/>
        <v>5.4794520547945202E-2</v>
      </c>
      <c r="M184" t="s">
        <v>411</v>
      </c>
      <c r="N184">
        <v>35</v>
      </c>
      <c r="O184">
        <v>23244</v>
      </c>
      <c r="P184">
        <v>73</v>
      </c>
      <c r="Q184">
        <v>87</v>
      </c>
      <c r="R184" s="6">
        <f t="shared" si="8"/>
        <v>14</v>
      </c>
      <c r="S184">
        <v>5</v>
      </c>
      <c r="T184">
        <v>81</v>
      </c>
      <c r="U184">
        <v>78</v>
      </c>
      <c r="V184" t="s">
        <v>35</v>
      </c>
      <c r="W184" t="s">
        <v>31</v>
      </c>
      <c r="X184">
        <v>28</v>
      </c>
      <c r="Y184">
        <v>23</v>
      </c>
      <c r="Z184">
        <v>5</v>
      </c>
      <c r="AA184">
        <v>30</v>
      </c>
      <c r="AB184">
        <v>46250</v>
      </c>
    </row>
    <row r="185" spans="1:28" x14ac:dyDescent="0.3">
      <c r="A185" t="s">
        <v>412</v>
      </c>
      <c r="B185" t="s">
        <v>26</v>
      </c>
      <c r="C185" t="s">
        <v>86</v>
      </c>
      <c r="D185" s="1">
        <v>45784</v>
      </c>
      <c r="E185" s="1">
        <v>45820</v>
      </c>
      <c r="F185" s="16">
        <f t="shared" si="6"/>
        <v>36</v>
      </c>
      <c r="G185">
        <v>15284</v>
      </c>
      <c r="H185" t="s">
        <v>52</v>
      </c>
      <c r="I185">
        <v>145</v>
      </c>
      <c r="J185">
        <v>17</v>
      </c>
      <c r="K185">
        <v>11</v>
      </c>
      <c r="L185" s="11">
        <f t="shared" si="7"/>
        <v>7.586206896551724E-2</v>
      </c>
      <c r="M185" t="s">
        <v>413</v>
      </c>
      <c r="N185">
        <v>67</v>
      </c>
      <c r="O185">
        <v>8275</v>
      </c>
      <c r="P185">
        <v>76</v>
      </c>
      <c r="Q185">
        <v>78</v>
      </c>
      <c r="R185" s="6">
        <f t="shared" si="8"/>
        <v>2</v>
      </c>
      <c r="S185">
        <v>2</v>
      </c>
      <c r="T185">
        <v>78</v>
      </c>
      <c r="U185">
        <v>55</v>
      </c>
      <c r="V185" t="s">
        <v>30</v>
      </c>
      <c r="W185" t="s">
        <v>43</v>
      </c>
      <c r="X185">
        <v>52</v>
      </c>
      <c r="Y185">
        <v>3</v>
      </c>
      <c r="Z185">
        <v>23</v>
      </c>
      <c r="AA185">
        <v>30</v>
      </c>
      <c r="AB185">
        <v>27842</v>
      </c>
    </row>
    <row r="186" spans="1:28" x14ac:dyDescent="0.3">
      <c r="A186" t="s">
        <v>414</v>
      </c>
      <c r="B186" t="s">
        <v>37</v>
      </c>
      <c r="C186" t="s">
        <v>60</v>
      </c>
      <c r="D186" s="1">
        <v>45776</v>
      </c>
      <c r="E186" s="1">
        <v>45823</v>
      </c>
      <c r="F186" s="16">
        <f t="shared" si="6"/>
        <v>47</v>
      </c>
      <c r="G186">
        <v>22858</v>
      </c>
      <c r="H186" t="s">
        <v>38</v>
      </c>
      <c r="I186">
        <v>168</v>
      </c>
      <c r="J186">
        <v>9</v>
      </c>
      <c r="K186">
        <v>9</v>
      </c>
      <c r="L186" s="11">
        <f t="shared" si="7"/>
        <v>5.3571428571428568E-2</v>
      </c>
      <c r="M186" t="s">
        <v>415</v>
      </c>
      <c r="N186">
        <v>17</v>
      </c>
      <c r="O186">
        <v>26730</v>
      </c>
      <c r="P186">
        <v>71</v>
      </c>
      <c r="Q186">
        <v>96</v>
      </c>
      <c r="R186" s="6">
        <f t="shared" si="8"/>
        <v>25</v>
      </c>
      <c r="S186">
        <v>2</v>
      </c>
      <c r="T186">
        <v>76</v>
      </c>
      <c r="U186">
        <v>79</v>
      </c>
      <c r="V186" t="s">
        <v>35</v>
      </c>
      <c r="W186" t="s">
        <v>31</v>
      </c>
      <c r="X186">
        <v>39</v>
      </c>
      <c r="Y186">
        <v>7</v>
      </c>
      <c r="Z186">
        <v>7</v>
      </c>
      <c r="AA186">
        <v>30</v>
      </c>
      <c r="AB186">
        <v>68600</v>
      </c>
    </row>
    <row r="187" spans="1:28" x14ac:dyDescent="0.3">
      <c r="A187" t="s">
        <v>416</v>
      </c>
      <c r="B187" t="s">
        <v>72</v>
      </c>
      <c r="C187" t="s">
        <v>51</v>
      </c>
      <c r="D187" s="1">
        <v>45547</v>
      </c>
      <c r="E187" s="1">
        <v>45594</v>
      </c>
      <c r="F187" s="16">
        <f t="shared" si="6"/>
        <v>47</v>
      </c>
      <c r="G187">
        <v>25848</v>
      </c>
      <c r="H187" t="s">
        <v>33</v>
      </c>
      <c r="I187">
        <v>164</v>
      </c>
      <c r="J187">
        <v>13</v>
      </c>
      <c r="K187">
        <v>11</v>
      </c>
      <c r="L187" s="11">
        <f t="shared" si="7"/>
        <v>6.7073170731707321E-2</v>
      </c>
      <c r="M187" t="s">
        <v>417</v>
      </c>
      <c r="N187">
        <v>6</v>
      </c>
      <c r="O187">
        <v>13925</v>
      </c>
      <c r="P187">
        <v>43</v>
      </c>
      <c r="Q187">
        <v>55</v>
      </c>
      <c r="R187" s="6">
        <f t="shared" si="8"/>
        <v>12</v>
      </c>
      <c r="S187">
        <v>1</v>
      </c>
      <c r="T187">
        <v>85</v>
      </c>
      <c r="U187">
        <v>100</v>
      </c>
      <c r="V187" t="s">
        <v>35</v>
      </c>
      <c r="W187" t="s">
        <v>31</v>
      </c>
      <c r="X187">
        <v>46</v>
      </c>
      <c r="Y187">
        <v>9</v>
      </c>
      <c r="Z187">
        <v>18</v>
      </c>
      <c r="AA187">
        <v>30</v>
      </c>
      <c r="AB187">
        <v>96528</v>
      </c>
    </row>
    <row r="188" spans="1:28" x14ac:dyDescent="0.3">
      <c r="A188" t="s">
        <v>418</v>
      </c>
      <c r="B188" t="s">
        <v>77</v>
      </c>
      <c r="C188" t="s">
        <v>60</v>
      </c>
      <c r="D188" s="1">
        <v>45690</v>
      </c>
      <c r="E188" s="1">
        <v>45725</v>
      </c>
      <c r="F188" s="16">
        <f t="shared" si="6"/>
        <v>35</v>
      </c>
      <c r="G188">
        <v>13622</v>
      </c>
      <c r="H188" t="s">
        <v>33</v>
      </c>
      <c r="I188">
        <v>169</v>
      </c>
      <c r="J188">
        <v>9</v>
      </c>
      <c r="K188">
        <v>9</v>
      </c>
      <c r="L188" s="11">
        <f t="shared" si="7"/>
        <v>5.3254437869822487E-2</v>
      </c>
      <c r="M188" t="s">
        <v>419</v>
      </c>
      <c r="N188">
        <v>59</v>
      </c>
      <c r="O188">
        <v>6060</v>
      </c>
      <c r="P188">
        <v>74</v>
      </c>
      <c r="Q188">
        <v>95</v>
      </c>
      <c r="R188" s="6">
        <f t="shared" si="8"/>
        <v>21</v>
      </c>
      <c r="S188">
        <v>5</v>
      </c>
      <c r="T188">
        <v>80</v>
      </c>
      <c r="U188">
        <v>99</v>
      </c>
      <c r="V188" t="s">
        <v>35</v>
      </c>
      <c r="W188" t="s">
        <v>43</v>
      </c>
      <c r="X188">
        <v>34</v>
      </c>
      <c r="Y188">
        <v>1</v>
      </c>
      <c r="Z188">
        <v>2</v>
      </c>
      <c r="AA188">
        <v>30</v>
      </c>
      <c r="AB188">
        <v>70007</v>
      </c>
    </row>
    <row r="189" spans="1:28" x14ac:dyDescent="0.3">
      <c r="A189" t="s">
        <v>420</v>
      </c>
      <c r="B189" t="s">
        <v>37</v>
      </c>
      <c r="C189" t="s">
        <v>86</v>
      </c>
      <c r="D189" s="1">
        <v>45496</v>
      </c>
      <c r="E189" s="1">
        <v>45556</v>
      </c>
      <c r="F189" s="16">
        <f t="shared" si="6"/>
        <v>60</v>
      </c>
      <c r="G189">
        <v>26970</v>
      </c>
      <c r="H189" t="s">
        <v>33</v>
      </c>
      <c r="I189">
        <v>44</v>
      </c>
      <c r="J189">
        <v>20</v>
      </c>
      <c r="K189">
        <v>17</v>
      </c>
      <c r="L189" s="11">
        <f t="shared" si="7"/>
        <v>0.38636363636363635</v>
      </c>
      <c r="M189" t="s">
        <v>421</v>
      </c>
      <c r="N189">
        <v>41</v>
      </c>
      <c r="O189">
        <v>16860</v>
      </c>
      <c r="P189">
        <v>73</v>
      </c>
      <c r="Q189">
        <v>89</v>
      </c>
      <c r="R189" s="6">
        <f t="shared" si="8"/>
        <v>16</v>
      </c>
      <c r="S189">
        <v>2</v>
      </c>
      <c r="T189">
        <v>82</v>
      </c>
      <c r="U189">
        <v>82</v>
      </c>
      <c r="V189" t="s">
        <v>35</v>
      </c>
      <c r="W189" t="s">
        <v>43</v>
      </c>
      <c r="X189">
        <v>60</v>
      </c>
      <c r="Y189">
        <v>5</v>
      </c>
      <c r="Z189">
        <v>17</v>
      </c>
      <c r="AA189">
        <v>30</v>
      </c>
      <c r="AB189">
        <v>87772</v>
      </c>
    </row>
    <row r="190" spans="1:28" x14ac:dyDescent="0.3">
      <c r="A190" t="s">
        <v>422</v>
      </c>
      <c r="B190" t="s">
        <v>55</v>
      </c>
      <c r="C190" t="s">
        <v>51</v>
      </c>
      <c r="D190" s="1">
        <v>45436</v>
      </c>
      <c r="E190" s="1">
        <v>45455</v>
      </c>
      <c r="F190" s="16">
        <f t="shared" si="6"/>
        <v>19</v>
      </c>
      <c r="G190">
        <v>38244</v>
      </c>
      <c r="H190" t="s">
        <v>33</v>
      </c>
      <c r="I190">
        <v>149</v>
      </c>
      <c r="J190">
        <v>16</v>
      </c>
      <c r="K190">
        <v>5</v>
      </c>
      <c r="L190" s="11">
        <f t="shared" si="7"/>
        <v>3.3557046979865772E-2</v>
      </c>
      <c r="M190" t="s">
        <v>423</v>
      </c>
      <c r="N190">
        <v>53</v>
      </c>
      <c r="O190">
        <v>19367</v>
      </c>
      <c r="P190">
        <v>83</v>
      </c>
      <c r="Q190">
        <v>100</v>
      </c>
      <c r="R190" s="6">
        <f t="shared" si="8"/>
        <v>17</v>
      </c>
      <c r="S190">
        <v>5</v>
      </c>
      <c r="T190">
        <v>96</v>
      </c>
      <c r="U190">
        <v>59</v>
      </c>
      <c r="V190" t="s">
        <v>35</v>
      </c>
      <c r="W190" t="s">
        <v>31</v>
      </c>
      <c r="X190">
        <v>52</v>
      </c>
      <c r="Y190">
        <v>3</v>
      </c>
      <c r="Z190">
        <v>19</v>
      </c>
      <c r="AA190">
        <v>30</v>
      </c>
      <c r="AB190">
        <v>71192</v>
      </c>
    </row>
    <row r="191" spans="1:28" x14ac:dyDescent="0.3">
      <c r="A191" t="s">
        <v>424</v>
      </c>
      <c r="B191" t="s">
        <v>72</v>
      </c>
      <c r="C191" t="s">
        <v>45</v>
      </c>
      <c r="D191" s="1">
        <v>45429</v>
      </c>
      <c r="E191" s="1">
        <v>45460</v>
      </c>
      <c r="F191" s="16">
        <f t="shared" si="6"/>
        <v>31</v>
      </c>
      <c r="G191">
        <v>30864</v>
      </c>
      <c r="H191" t="s">
        <v>28</v>
      </c>
      <c r="I191">
        <v>187</v>
      </c>
      <c r="J191">
        <v>1</v>
      </c>
      <c r="K191">
        <v>1</v>
      </c>
      <c r="L191" s="11">
        <f t="shared" si="7"/>
        <v>5.3475935828877002E-3</v>
      </c>
      <c r="M191" t="s">
        <v>425</v>
      </c>
      <c r="N191">
        <v>50</v>
      </c>
      <c r="O191">
        <v>20692</v>
      </c>
      <c r="P191">
        <v>63</v>
      </c>
      <c r="Q191">
        <v>81</v>
      </c>
      <c r="R191" s="6">
        <f t="shared" si="8"/>
        <v>18</v>
      </c>
      <c r="S191">
        <v>5</v>
      </c>
      <c r="T191">
        <v>84</v>
      </c>
      <c r="U191">
        <v>100</v>
      </c>
      <c r="V191" t="s">
        <v>35</v>
      </c>
      <c r="W191" t="s">
        <v>43</v>
      </c>
      <c r="X191">
        <v>25</v>
      </c>
      <c r="Y191">
        <v>12</v>
      </c>
      <c r="Z191">
        <v>16</v>
      </c>
      <c r="AA191">
        <v>30</v>
      </c>
      <c r="AB191">
        <v>102862</v>
      </c>
    </row>
    <row r="192" spans="1:28" x14ac:dyDescent="0.3">
      <c r="A192" t="s">
        <v>426</v>
      </c>
      <c r="B192" t="s">
        <v>55</v>
      </c>
      <c r="C192" t="s">
        <v>51</v>
      </c>
      <c r="D192" s="1">
        <v>45608</v>
      </c>
      <c r="E192" s="1">
        <v>45664</v>
      </c>
      <c r="F192" s="16">
        <f t="shared" si="6"/>
        <v>56</v>
      </c>
      <c r="G192">
        <v>43038</v>
      </c>
      <c r="H192" t="s">
        <v>33</v>
      </c>
      <c r="I192">
        <v>10</v>
      </c>
      <c r="J192">
        <v>15</v>
      </c>
      <c r="K192">
        <v>6</v>
      </c>
      <c r="L192" s="11">
        <f t="shared" si="7"/>
        <v>0.6</v>
      </c>
      <c r="M192" t="s">
        <v>427</v>
      </c>
      <c r="N192">
        <v>8</v>
      </c>
      <c r="O192">
        <v>10604</v>
      </c>
      <c r="P192">
        <v>68</v>
      </c>
      <c r="Q192">
        <v>87</v>
      </c>
      <c r="R192" s="6">
        <f t="shared" si="8"/>
        <v>19</v>
      </c>
      <c r="S192">
        <v>4</v>
      </c>
      <c r="T192">
        <v>82</v>
      </c>
      <c r="U192">
        <v>65</v>
      </c>
      <c r="V192" t="s">
        <v>35</v>
      </c>
      <c r="W192" t="s">
        <v>43</v>
      </c>
      <c r="X192">
        <v>28</v>
      </c>
      <c r="Y192">
        <v>18</v>
      </c>
      <c r="Z192">
        <v>7</v>
      </c>
      <c r="AA192">
        <v>30</v>
      </c>
      <c r="AB192">
        <v>84165</v>
      </c>
    </row>
    <row r="193" spans="1:28" x14ac:dyDescent="0.3">
      <c r="A193" t="s">
        <v>428</v>
      </c>
      <c r="B193" t="s">
        <v>37</v>
      </c>
      <c r="C193" t="s">
        <v>60</v>
      </c>
      <c r="D193" s="1">
        <v>45469</v>
      </c>
      <c r="E193" s="1">
        <v>45494</v>
      </c>
      <c r="F193" s="16">
        <f t="shared" si="6"/>
        <v>25</v>
      </c>
      <c r="G193">
        <v>5162</v>
      </c>
      <c r="H193" t="s">
        <v>38</v>
      </c>
      <c r="I193">
        <v>174</v>
      </c>
      <c r="J193">
        <v>14</v>
      </c>
      <c r="K193">
        <v>7</v>
      </c>
      <c r="L193" s="11">
        <f t="shared" si="7"/>
        <v>4.0229885057471264E-2</v>
      </c>
      <c r="M193" t="s">
        <v>429</v>
      </c>
      <c r="N193">
        <v>5</v>
      </c>
      <c r="O193">
        <v>5197</v>
      </c>
      <c r="P193">
        <v>73</v>
      </c>
      <c r="Q193">
        <v>100</v>
      </c>
      <c r="R193" s="6">
        <f t="shared" si="8"/>
        <v>27</v>
      </c>
      <c r="S193">
        <v>3</v>
      </c>
      <c r="T193">
        <v>95</v>
      </c>
      <c r="U193">
        <v>71</v>
      </c>
      <c r="V193" t="s">
        <v>35</v>
      </c>
      <c r="W193" t="s">
        <v>31</v>
      </c>
      <c r="X193">
        <v>28</v>
      </c>
      <c r="Y193">
        <v>5</v>
      </c>
      <c r="Z193">
        <v>9</v>
      </c>
      <c r="AA193">
        <v>30</v>
      </c>
      <c r="AB193">
        <v>59290</v>
      </c>
    </row>
    <row r="194" spans="1:28" x14ac:dyDescent="0.3">
      <c r="A194" t="s">
        <v>430</v>
      </c>
      <c r="B194" t="s">
        <v>67</v>
      </c>
      <c r="C194" t="s">
        <v>45</v>
      </c>
      <c r="D194" s="1">
        <v>45352</v>
      </c>
      <c r="E194" s="1">
        <v>45402</v>
      </c>
      <c r="F194" s="16">
        <f t="shared" si="6"/>
        <v>50</v>
      </c>
      <c r="G194">
        <v>46718</v>
      </c>
      <c r="H194" t="s">
        <v>52</v>
      </c>
      <c r="I194">
        <v>109</v>
      </c>
      <c r="J194">
        <v>19</v>
      </c>
      <c r="K194">
        <v>16</v>
      </c>
      <c r="L194" s="11">
        <f t="shared" si="7"/>
        <v>0.14678899082568808</v>
      </c>
      <c r="M194" t="s">
        <v>431</v>
      </c>
      <c r="N194">
        <v>18</v>
      </c>
      <c r="O194">
        <v>13587</v>
      </c>
      <c r="P194">
        <v>76</v>
      </c>
      <c r="Q194">
        <v>81</v>
      </c>
      <c r="R194" s="6">
        <f t="shared" si="8"/>
        <v>5</v>
      </c>
      <c r="S194">
        <v>3</v>
      </c>
      <c r="T194">
        <v>86</v>
      </c>
      <c r="U194">
        <v>51</v>
      </c>
      <c r="V194" t="s">
        <v>35</v>
      </c>
      <c r="W194" t="s">
        <v>31</v>
      </c>
      <c r="X194">
        <v>34</v>
      </c>
      <c r="Y194">
        <v>4</v>
      </c>
      <c r="Z194">
        <v>10</v>
      </c>
      <c r="AA194">
        <v>30</v>
      </c>
      <c r="AB194">
        <v>118024</v>
      </c>
    </row>
    <row r="195" spans="1:28" x14ac:dyDescent="0.3">
      <c r="A195" t="s">
        <v>432</v>
      </c>
      <c r="B195" t="s">
        <v>55</v>
      </c>
      <c r="C195" t="s">
        <v>60</v>
      </c>
      <c r="D195" s="1">
        <v>45629</v>
      </c>
      <c r="E195" s="1">
        <v>45646</v>
      </c>
      <c r="F195" s="16">
        <f t="shared" ref="F195:F201" si="9">E195-D195</f>
        <v>17</v>
      </c>
      <c r="G195">
        <v>29450</v>
      </c>
      <c r="H195" t="s">
        <v>28</v>
      </c>
      <c r="I195">
        <v>138</v>
      </c>
      <c r="J195">
        <v>19</v>
      </c>
      <c r="K195">
        <v>13</v>
      </c>
      <c r="L195" s="11">
        <f t="shared" ref="L195:L201" si="10">K195/I195</f>
        <v>9.420289855072464E-2</v>
      </c>
      <c r="M195" t="s">
        <v>433</v>
      </c>
      <c r="N195">
        <v>79</v>
      </c>
      <c r="O195">
        <v>9947</v>
      </c>
      <c r="P195">
        <v>62</v>
      </c>
      <c r="Q195">
        <v>65</v>
      </c>
      <c r="R195" s="6">
        <f t="shared" ref="R195:R201" si="11">Q195-P195</f>
        <v>3</v>
      </c>
      <c r="S195">
        <v>1</v>
      </c>
      <c r="T195">
        <v>82</v>
      </c>
      <c r="U195">
        <v>63</v>
      </c>
      <c r="V195" t="s">
        <v>35</v>
      </c>
      <c r="W195" t="s">
        <v>31</v>
      </c>
      <c r="X195">
        <v>36</v>
      </c>
      <c r="Y195">
        <v>5</v>
      </c>
      <c r="Z195">
        <v>3</v>
      </c>
      <c r="AA195">
        <v>30</v>
      </c>
      <c r="AB195">
        <v>94789</v>
      </c>
    </row>
    <row r="196" spans="1:28" x14ac:dyDescent="0.3">
      <c r="A196" t="s">
        <v>434</v>
      </c>
      <c r="B196" t="s">
        <v>26</v>
      </c>
      <c r="C196" t="s">
        <v>48</v>
      </c>
      <c r="D196" s="1">
        <v>45524</v>
      </c>
      <c r="E196" s="1">
        <v>45543</v>
      </c>
      <c r="F196" s="16">
        <f t="shared" si="9"/>
        <v>19</v>
      </c>
      <c r="G196">
        <v>28214</v>
      </c>
      <c r="H196" t="s">
        <v>28</v>
      </c>
      <c r="I196">
        <v>20</v>
      </c>
      <c r="J196">
        <v>15</v>
      </c>
      <c r="K196">
        <v>1</v>
      </c>
      <c r="L196" s="11">
        <f t="shared" si="10"/>
        <v>0.05</v>
      </c>
      <c r="M196" t="s">
        <v>435</v>
      </c>
      <c r="N196">
        <v>71</v>
      </c>
      <c r="O196">
        <v>21600</v>
      </c>
      <c r="P196">
        <v>67</v>
      </c>
      <c r="Q196">
        <v>74</v>
      </c>
      <c r="R196" s="6">
        <f t="shared" si="11"/>
        <v>7</v>
      </c>
      <c r="S196">
        <v>1</v>
      </c>
      <c r="T196">
        <v>93</v>
      </c>
      <c r="U196">
        <v>86</v>
      </c>
      <c r="V196" t="s">
        <v>35</v>
      </c>
      <c r="W196" t="s">
        <v>31</v>
      </c>
      <c r="X196">
        <v>27</v>
      </c>
      <c r="Y196">
        <v>3</v>
      </c>
      <c r="Z196">
        <v>22</v>
      </c>
      <c r="AA196">
        <v>30</v>
      </c>
      <c r="AB196">
        <v>54768</v>
      </c>
    </row>
    <row r="197" spans="1:28" x14ac:dyDescent="0.3">
      <c r="A197" t="s">
        <v>436</v>
      </c>
      <c r="B197" t="s">
        <v>72</v>
      </c>
      <c r="C197" t="s">
        <v>45</v>
      </c>
      <c r="D197" s="1">
        <v>45490</v>
      </c>
      <c r="E197" s="1">
        <v>45546</v>
      </c>
      <c r="F197" s="16">
        <f t="shared" si="9"/>
        <v>56</v>
      </c>
      <c r="G197">
        <v>11790</v>
      </c>
      <c r="H197" t="s">
        <v>52</v>
      </c>
      <c r="I197">
        <v>72</v>
      </c>
      <c r="J197">
        <v>19</v>
      </c>
      <c r="K197">
        <v>9</v>
      </c>
      <c r="L197" s="11">
        <f t="shared" si="10"/>
        <v>0.125</v>
      </c>
      <c r="M197" t="s">
        <v>437</v>
      </c>
      <c r="N197">
        <v>40</v>
      </c>
      <c r="O197">
        <v>6771</v>
      </c>
      <c r="P197">
        <v>67</v>
      </c>
      <c r="Q197">
        <v>88</v>
      </c>
      <c r="R197" s="6">
        <f t="shared" si="11"/>
        <v>21</v>
      </c>
      <c r="S197">
        <v>2</v>
      </c>
      <c r="T197">
        <v>92</v>
      </c>
      <c r="U197">
        <v>90</v>
      </c>
      <c r="V197" t="s">
        <v>35</v>
      </c>
      <c r="W197" t="s">
        <v>31</v>
      </c>
      <c r="X197">
        <v>29</v>
      </c>
      <c r="Y197">
        <v>23</v>
      </c>
      <c r="Z197">
        <v>24</v>
      </c>
      <c r="AA197">
        <v>30</v>
      </c>
      <c r="AB197">
        <v>80941</v>
      </c>
    </row>
    <row r="198" spans="1:28" x14ac:dyDescent="0.3">
      <c r="A198" t="s">
        <v>438</v>
      </c>
      <c r="B198" t="s">
        <v>77</v>
      </c>
      <c r="C198" t="s">
        <v>48</v>
      </c>
      <c r="D198" s="1">
        <v>45401</v>
      </c>
      <c r="E198" s="1">
        <v>45455</v>
      </c>
      <c r="F198" s="16">
        <f t="shared" si="9"/>
        <v>54</v>
      </c>
      <c r="G198">
        <v>45172</v>
      </c>
      <c r="H198" t="s">
        <v>41</v>
      </c>
      <c r="I198">
        <v>57</v>
      </c>
      <c r="J198">
        <v>17</v>
      </c>
      <c r="K198">
        <v>9</v>
      </c>
      <c r="L198" s="11">
        <f t="shared" si="10"/>
        <v>0.15789473684210525</v>
      </c>
      <c r="M198" t="s">
        <v>439</v>
      </c>
      <c r="N198">
        <v>18</v>
      </c>
      <c r="O198">
        <v>27511</v>
      </c>
      <c r="P198">
        <v>64</v>
      </c>
      <c r="Q198">
        <v>79</v>
      </c>
      <c r="R198" s="6">
        <f t="shared" si="11"/>
        <v>15</v>
      </c>
      <c r="S198">
        <v>5</v>
      </c>
      <c r="T198">
        <v>78</v>
      </c>
      <c r="U198">
        <v>87</v>
      </c>
      <c r="V198" t="s">
        <v>35</v>
      </c>
      <c r="W198" t="s">
        <v>43</v>
      </c>
      <c r="X198">
        <v>58</v>
      </c>
      <c r="Y198">
        <v>20</v>
      </c>
      <c r="Z198">
        <v>5</v>
      </c>
      <c r="AA198">
        <v>30</v>
      </c>
      <c r="AB198">
        <v>93035</v>
      </c>
    </row>
    <row r="199" spans="1:28" x14ac:dyDescent="0.3">
      <c r="A199" t="s">
        <v>440</v>
      </c>
      <c r="B199" t="s">
        <v>72</v>
      </c>
      <c r="C199" t="s">
        <v>86</v>
      </c>
      <c r="D199" s="1">
        <v>45379</v>
      </c>
      <c r="E199" s="1">
        <v>45400</v>
      </c>
      <c r="F199" s="16">
        <f t="shared" si="9"/>
        <v>21</v>
      </c>
      <c r="G199">
        <v>17490</v>
      </c>
      <c r="H199" t="s">
        <v>33</v>
      </c>
      <c r="I199">
        <v>50</v>
      </c>
      <c r="J199">
        <v>14</v>
      </c>
      <c r="K199">
        <v>12</v>
      </c>
      <c r="L199" s="11">
        <f t="shared" si="10"/>
        <v>0.24</v>
      </c>
      <c r="M199" t="s">
        <v>441</v>
      </c>
      <c r="N199">
        <v>70</v>
      </c>
      <c r="O199">
        <v>19377</v>
      </c>
      <c r="P199">
        <v>75</v>
      </c>
      <c r="Q199">
        <v>83</v>
      </c>
      <c r="R199" s="6">
        <f t="shared" si="11"/>
        <v>8</v>
      </c>
      <c r="S199">
        <v>1</v>
      </c>
      <c r="T199">
        <v>100</v>
      </c>
      <c r="U199">
        <v>96</v>
      </c>
      <c r="V199" t="s">
        <v>35</v>
      </c>
      <c r="W199" t="s">
        <v>43</v>
      </c>
      <c r="X199">
        <v>26</v>
      </c>
      <c r="Y199">
        <v>22</v>
      </c>
      <c r="Z199">
        <v>24</v>
      </c>
      <c r="AA199">
        <v>30</v>
      </c>
      <c r="AB199">
        <v>93046</v>
      </c>
    </row>
    <row r="200" spans="1:28" x14ac:dyDescent="0.3">
      <c r="A200" t="s">
        <v>442</v>
      </c>
      <c r="B200" t="s">
        <v>55</v>
      </c>
      <c r="C200" t="s">
        <v>51</v>
      </c>
      <c r="D200" s="1">
        <v>45786</v>
      </c>
      <c r="E200" s="1">
        <v>45809</v>
      </c>
      <c r="F200" s="16">
        <f t="shared" si="9"/>
        <v>23</v>
      </c>
      <c r="G200">
        <v>29773</v>
      </c>
      <c r="H200" t="s">
        <v>28</v>
      </c>
      <c r="I200">
        <v>60</v>
      </c>
      <c r="J200">
        <v>15</v>
      </c>
      <c r="K200">
        <v>13</v>
      </c>
      <c r="L200" s="11">
        <f t="shared" si="10"/>
        <v>0.21666666666666667</v>
      </c>
      <c r="M200" t="s">
        <v>443</v>
      </c>
      <c r="N200">
        <v>30</v>
      </c>
      <c r="O200">
        <v>29890</v>
      </c>
      <c r="P200">
        <v>59</v>
      </c>
      <c r="Q200">
        <v>84</v>
      </c>
      <c r="R200" s="6">
        <f t="shared" si="11"/>
        <v>25</v>
      </c>
      <c r="S200">
        <v>2</v>
      </c>
      <c r="T200">
        <v>87</v>
      </c>
      <c r="U200">
        <v>68</v>
      </c>
      <c r="V200" t="s">
        <v>35</v>
      </c>
      <c r="W200" t="s">
        <v>31</v>
      </c>
      <c r="X200">
        <v>33</v>
      </c>
      <c r="Y200">
        <v>9</v>
      </c>
      <c r="Z200">
        <v>24</v>
      </c>
      <c r="AA200">
        <v>30</v>
      </c>
      <c r="AB200">
        <v>62805</v>
      </c>
    </row>
    <row r="201" spans="1:28" x14ac:dyDescent="0.3">
      <c r="A201" t="s">
        <v>444</v>
      </c>
      <c r="B201" t="s">
        <v>26</v>
      </c>
      <c r="C201" t="s">
        <v>45</v>
      </c>
      <c r="D201" s="1">
        <v>45624</v>
      </c>
      <c r="E201" s="1">
        <v>45678</v>
      </c>
      <c r="F201" s="16">
        <f t="shared" si="9"/>
        <v>54</v>
      </c>
      <c r="G201">
        <v>24187</v>
      </c>
      <c r="H201" t="s">
        <v>33</v>
      </c>
      <c r="I201">
        <v>116</v>
      </c>
      <c r="J201">
        <v>10</v>
      </c>
      <c r="K201">
        <v>10</v>
      </c>
      <c r="L201" s="11">
        <f t="shared" si="10"/>
        <v>8.6206896551724144E-2</v>
      </c>
      <c r="M201" t="s">
        <v>445</v>
      </c>
      <c r="N201">
        <v>19</v>
      </c>
      <c r="O201">
        <v>21222</v>
      </c>
      <c r="P201">
        <v>58</v>
      </c>
      <c r="Q201">
        <v>66</v>
      </c>
      <c r="R201" s="6">
        <f t="shared" si="11"/>
        <v>8</v>
      </c>
      <c r="S201">
        <v>2</v>
      </c>
      <c r="T201">
        <v>84</v>
      </c>
      <c r="U201">
        <v>61</v>
      </c>
      <c r="V201" t="s">
        <v>35</v>
      </c>
      <c r="W201" t="s">
        <v>31</v>
      </c>
      <c r="X201">
        <v>30</v>
      </c>
      <c r="Y201">
        <v>5</v>
      </c>
      <c r="Z201">
        <v>11</v>
      </c>
      <c r="AA201">
        <v>30</v>
      </c>
      <c r="AB201">
        <v>101475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9A465-80BE-4FCF-8D88-A84D92B3C0D2}">
  <dimension ref="A1:G58"/>
  <sheetViews>
    <sheetView tabSelected="1" zoomScale="115" zoomScaleNormal="115" workbookViewId="0">
      <selection activeCell="E60" sqref="E60"/>
    </sheetView>
  </sheetViews>
  <sheetFormatPr defaultRowHeight="14.4" x14ac:dyDescent="0.3"/>
  <cols>
    <col min="1" max="1" width="3" bestFit="1" customWidth="1"/>
    <col min="2" max="2" width="52" bestFit="1" customWidth="1"/>
    <col min="3" max="3" width="24.21875" customWidth="1"/>
    <col min="4" max="4" width="25.5546875" customWidth="1"/>
    <col min="6" max="6" width="12.88671875" style="7" bestFit="1" customWidth="1"/>
    <col min="7" max="7" width="28.109375" style="2" customWidth="1"/>
  </cols>
  <sheetData>
    <row r="1" spans="1:3" ht="21" x14ac:dyDescent="0.3">
      <c r="B1" s="5" t="s">
        <v>462</v>
      </c>
    </row>
    <row r="2" spans="1:3" x14ac:dyDescent="0.3">
      <c r="A2">
        <v>1</v>
      </c>
      <c r="B2" t="s">
        <v>447</v>
      </c>
      <c r="C2" s="4" t="s">
        <v>483</v>
      </c>
    </row>
    <row r="3" spans="1:3" x14ac:dyDescent="0.3">
      <c r="A3">
        <v>2</v>
      </c>
      <c r="B3" t="s">
        <v>448</v>
      </c>
      <c r="C3" s="3">
        <f>AVERAGE(Data!F2:F201)</f>
        <v>34.365000000000002</v>
      </c>
    </row>
    <row r="4" spans="1:3" x14ac:dyDescent="0.3">
      <c r="A4">
        <v>3</v>
      </c>
      <c r="B4" t="s">
        <v>449</v>
      </c>
      <c r="C4" s="3">
        <f>MAX(Data!F2:F201)</f>
        <v>60</v>
      </c>
    </row>
    <row r="5" spans="1:3" x14ac:dyDescent="0.3">
      <c r="A5">
        <v>4</v>
      </c>
      <c r="B5" t="s">
        <v>450</v>
      </c>
      <c r="C5" s="3">
        <f>MIN(Data!F2:F201)</f>
        <v>5</v>
      </c>
    </row>
    <row r="6" spans="1:3" x14ac:dyDescent="0.3">
      <c r="A6" s="13"/>
      <c r="B6" s="13"/>
      <c r="C6" s="14"/>
    </row>
    <row r="7" spans="1:3" ht="21" x14ac:dyDescent="0.3">
      <c r="B7" s="5" t="s">
        <v>463</v>
      </c>
    </row>
    <row r="8" spans="1:3" x14ac:dyDescent="0.3">
      <c r="A8">
        <v>5</v>
      </c>
      <c r="B8" t="s">
        <v>451</v>
      </c>
      <c r="C8">
        <f>AVERAGE(Data!G2:G201)</f>
        <v>27678.880000000001</v>
      </c>
    </row>
    <row r="9" spans="1:3" x14ac:dyDescent="0.3">
      <c r="A9">
        <v>6</v>
      </c>
      <c r="B9" t="s">
        <v>452</v>
      </c>
      <c r="C9">
        <f>SUM(Data!G2:G201)</f>
        <v>5535776</v>
      </c>
    </row>
    <row r="10" spans="1:3" x14ac:dyDescent="0.3">
      <c r="A10">
        <v>7</v>
      </c>
      <c r="B10" t="s">
        <v>453</v>
      </c>
      <c r="C10">
        <f>MAX(Data!G2:G201)</f>
        <v>49913</v>
      </c>
    </row>
    <row r="11" spans="1:3" x14ac:dyDescent="0.3">
      <c r="A11" s="13"/>
      <c r="B11" s="13"/>
      <c r="C11" s="13"/>
    </row>
    <row r="12" spans="1:3" ht="21" x14ac:dyDescent="0.3">
      <c r="B12" s="5" t="s">
        <v>464</v>
      </c>
    </row>
    <row r="13" spans="1:3" x14ac:dyDescent="0.3">
      <c r="A13">
        <v>8</v>
      </c>
      <c r="B13" t="s">
        <v>454</v>
      </c>
      <c r="C13" t="str" cm="1">
        <f t="array" ref="C13">_xlfn.LET(_xlpm.sources, _xlfn.UNIQUE(Data!H2:H201), _xlpm.hires, SUMIF(Data!H2:H201, _xlpm.sources, Data!K2:K201), _xlfn._xlws.FILTER(_xlpm.sources, _xlpm.hires=MAX(_xlpm.hires)))</f>
        <v>Naukri</v>
      </c>
    </row>
    <row r="14" spans="1:3" x14ac:dyDescent="0.3">
      <c r="A14">
        <v>9</v>
      </c>
      <c r="B14" t="s">
        <v>455</v>
      </c>
      <c r="C14" t="str" cm="1">
        <f t="array" ref="C14">_xlfn.LET(_xlpm.sources, _xlfn.UNIQUE(Data!H2:H201), _xlpm.hires, SUMIF(Data!H2:H201, _xlpm.sources, Data!K2:K201), _xlfn._xlws.FILTER(_xlpm.sources, _xlpm.hires=MIN(_xlpm.hires)))</f>
        <v>Campus Hiring</v>
      </c>
    </row>
    <row r="15" spans="1:3" x14ac:dyDescent="0.3">
      <c r="A15">
        <v>10</v>
      </c>
      <c r="B15" t="s">
        <v>456</v>
      </c>
      <c r="C15" t="str" cm="1">
        <f t="array" ref="C15">_xlfn.LET(_xlpm.sources, _xlfn.UNIQUE(Data!H2:H201), _xlpm.cost, SUMIF(Data!H2:H201,_xlpm.sources, Data!K2:K201), _xlfn._xlws.FILTER(_xlpm.sources,_xlpm.cost=MIN(_xlpm.cost)))</f>
        <v>Campus Hiring</v>
      </c>
    </row>
    <row r="16" spans="1:3" x14ac:dyDescent="0.3">
      <c r="A16">
        <v>11</v>
      </c>
      <c r="B16" t="s">
        <v>457</v>
      </c>
      <c r="C16" t="str" cm="1">
        <f t="array" ref="C16">_xlfn.LET(_xlpm.sources, _xlfn.UNIQUE(Data!H2:H201), _xlpm.cost, SUMIF(Data!H2:H201,_xlpm.sources, Data!K2:K201), _xlfn._xlws.FILTER(_xlpm.sources,_xlpm.cost=MAX(_xlpm.cost)))</f>
        <v>Naukri</v>
      </c>
    </row>
    <row r="17" spans="1:4" x14ac:dyDescent="0.3">
      <c r="A17" s="13"/>
      <c r="B17" s="13"/>
      <c r="C17" s="13"/>
    </row>
    <row r="18" spans="1:4" ht="21" x14ac:dyDescent="0.3">
      <c r="B18" s="5" t="s">
        <v>479</v>
      </c>
    </row>
    <row r="19" spans="1:4" x14ac:dyDescent="0.3">
      <c r="A19">
        <v>12</v>
      </c>
      <c r="B19" t="s">
        <v>480</v>
      </c>
      <c r="C19" s="12" t="s">
        <v>484</v>
      </c>
    </row>
    <row r="20" spans="1:4" x14ac:dyDescent="0.3">
      <c r="A20">
        <v>13</v>
      </c>
      <c r="B20" t="s">
        <v>481</v>
      </c>
      <c r="C20" t="str">
        <f>_xlfn.LET(_xlpm.sources,Data!H2:H201,_xlpm.rates,Data!L2:L201,_xlpm.maxrate,MAX(_xlpm.rates),_xlpm.source,INDEX(_xlpm.sources,MATCH(_xlpm.maxrate,_xlpm.rates,0)),_xlpm.source&amp;" - "&amp;TEXT(_xlpm.maxrate,"0.00%"))</f>
        <v>Naukri - 70.00%</v>
      </c>
    </row>
    <row r="21" spans="1:4" x14ac:dyDescent="0.3">
      <c r="A21" s="13"/>
      <c r="B21" s="13"/>
      <c r="C21" s="13"/>
    </row>
    <row r="22" spans="1:4" ht="21" x14ac:dyDescent="0.3">
      <c r="B22" s="5" t="s">
        <v>471</v>
      </c>
    </row>
    <row r="23" spans="1:4" x14ac:dyDescent="0.3">
      <c r="A23">
        <v>14</v>
      </c>
      <c r="B23" t="s">
        <v>458</v>
      </c>
      <c r="C23">
        <f>SUM(Data!N2:N201)</f>
        <v>8009</v>
      </c>
    </row>
    <row r="24" spans="1:4" x14ac:dyDescent="0.3">
      <c r="A24">
        <v>15</v>
      </c>
      <c r="B24" t="s">
        <v>459</v>
      </c>
      <c r="C24" s="3">
        <f>AVERAGE(Data!N2:N201)</f>
        <v>40.045000000000002</v>
      </c>
    </row>
    <row r="25" spans="1:4" x14ac:dyDescent="0.3">
      <c r="A25">
        <v>16</v>
      </c>
      <c r="B25" t="s">
        <v>460</v>
      </c>
      <c r="C25">
        <f>MAX(Data!N2:N201)</f>
        <v>79</v>
      </c>
    </row>
    <row r="26" spans="1:4" x14ac:dyDescent="0.3">
      <c r="A26">
        <v>17</v>
      </c>
      <c r="B26" t="s">
        <v>461</v>
      </c>
      <c r="C26">
        <f>MIN(Data!N2:N201)</f>
        <v>0</v>
      </c>
    </row>
    <row r="27" spans="1:4" x14ac:dyDescent="0.3">
      <c r="A27" s="13"/>
      <c r="B27" s="13"/>
      <c r="C27" s="13"/>
      <c r="D27" s="13"/>
    </row>
    <row r="28" spans="1:4" ht="21" x14ac:dyDescent="0.3">
      <c r="B28" s="5" t="s">
        <v>472</v>
      </c>
    </row>
    <row r="29" spans="1:4" x14ac:dyDescent="0.3">
      <c r="A29">
        <v>18</v>
      </c>
      <c r="B29" t="s">
        <v>465</v>
      </c>
      <c r="C29">
        <f>SUM(Data!O2:O201)</f>
        <v>3159908</v>
      </c>
    </row>
    <row r="30" spans="1:4" x14ac:dyDescent="0.3">
      <c r="A30">
        <v>19</v>
      </c>
      <c r="B30" t="s">
        <v>466</v>
      </c>
      <c r="C30">
        <f>AVERAGE(Data!O2:O201)</f>
        <v>15799.54</v>
      </c>
    </row>
    <row r="31" spans="1:4" x14ac:dyDescent="0.3">
      <c r="A31">
        <v>20</v>
      </c>
      <c r="B31" t="s">
        <v>467</v>
      </c>
      <c r="C31" s="4" t="str" cm="1">
        <f t="array" ref="C31:C36">_xlfn.UNIQUE(Data!B2:B201)</f>
        <v>Operations</v>
      </c>
      <c r="D31" s="4" cm="1">
        <f t="array" ref="D31:D36">SUMIF(Data!B2:B201,_xlfn.ANCHORARRAY(Solutions!C31),Data!O2:O201)</f>
        <v>499769</v>
      </c>
    </row>
    <row r="32" spans="1:4" x14ac:dyDescent="0.3">
      <c r="C32" t="str">
        <v>HR</v>
      </c>
      <c r="D32">
        <v>448090</v>
      </c>
    </row>
    <row r="33" spans="1:4" x14ac:dyDescent="0.3">
      <c r="C33" t="str">
        <v>Marketing</v>
      </c>
      <c r="D33">
        <v>637062</v>
      </c>
    </row>
    <row r="34" spans="1:4" x14ac:dyDescent="0.3">
      <c r="C34" t="str">
        <v>Sales</v>
      </c>
      <c r="D34">
        <v>471438</v>
      </c>
    </row>
    <row r="35" spans="1:4" x14ac:dyDescent="0.3">
      <c r="C35" t="str">
        <v>Finance</v>
      </c>
      <c r="D35">
        <v>713052</v>
      </c>
    </row>
    <row r="36" spans="1:4" x14ac:dyDescent="0.3">
      <c r="C36" t="str">
        <v>IT</v>
      </c>
      <c r="D36">
        <v>390497</v>
      </c>
    </row>
    <row r="37" spans="1:4" x14ac:dyDescent="0.3">
      <c r="A37" s="13"/>
      <c r="B37" s="13"/>
      <c r="C37" s="13"/>
      <c r="D37" s="13"/>
    </row>
    <row r="38" spans="1:4" ht="21" x14ac:dyDescent="0.3">
      <c r="B38" s="5" t="s">
        <v>473</v>
      </c>
    </row>
    <row r="39" spans="1:4" x14ac:dyDescent="0.3">
      <c r="A39">
        <v>21</v>
      </c>
      <c r="B39" t="s">
        <v>468</v>
      </c>
      <c r="C39" s="12" t="s">
        <v>477</v>
      </c>
    </row>
    <row r="40" spans="1:4" x14ac:dyDescent="0.3">
      <c r="A40">
        <v>22</v>
      </c>
      <c r="B40" t="s">
        <v>469</v>
      </c>
      <c r="C40" t="str" cm="1">
        <f t="array" ref="C40:C42">_xlfn._xlws.FILTER(Data!M2:M201,Data!R2:R201=MAX(Data!R2:R201))</f>
        <v>E004</v>
      </c>
      <c r="D40">
        <f>MAX(Data!$R$2:$R$201)</f>
        <v>30</v>
      </c>
    </row>
    <row r="41" spans="1:4" x14ac:dyDescent="0.3">
      <c r="C41" t="str">
        <v>E068</v>
      </c>
      <c r="D41">
        <f>MAX(Data!$R$2:$R$201)</f>
        <v>30</v>
      </c>
    </row>
    <row r="42" spans="1:4" x14ac:dyDescent="0.3">
      <c r="C42" t="str">
        <v>E080</v>
      </c>
      <c r="D42">
        <f>MAX(Data!$R$2:$R$201)</f>
        <v>30</v>
      </c>
    </row>
    <row r="43" spans="1:4" x14ac:dyDescent="0.3">
      <c r="A43" s="13"/>
      <c r="B43" s="13"/>
      <c r="C43" s="13"/>
      <c r="D43" s="13"/>
    </row>
    <row r="44" spans="1:4" x14ac:dyDescent="0.3">
      <c r="A44">
        <v>23</v>
      </c>
      <c r="B44" t="s">
        <v>470</v>
      </c>
      <c r="C44" t="str" cm="1">
        <f t="array" ref="C44:C49">_xlfn.UNIQUE(Data!B2:B201)</f>
        <v>Operations</v>
      </c>
      <c r="D44" s="3" cm="1">
        <f t="array" ref="D44:D49">AVERAGEIF(Data!B2:B201,_xlfn.ANCHORARRAY(Solutions!C44),Data!R2:R201)</f>
        <v>12.65625</v>
      </c>
    </row>
    <row r="45" spans="1:4" x14ac:dyDescent="0.3">
      <c r="C45" t="str">
        <v>HR</v>
      </c>
      <c r="D45" s="3">
        <v>16.315789473684209</v>
      </c>
    </row>
    <row r="46" spans="1:4" x14ac:dyDescent="0.3">
      <c r="C46" t="str">
        <v>Marketing</v>
      </c>
      <c r="D46" s="3">
        <v>14.868421052631579</v>
      </c>
    </row>
    <row r="47" spans="1:4" x14ac:dyDescent="0.3">
      <c r="C47" t="str">
        <v>Sales</v>
      </c>
      <c r="D47" s="3">
        <v>15.733333333333333</v>
      </c>
    </row>
    <row r="48" spans="1:4" x14ac:dyDescent="0.3">
      <c r="C48" t="str">
        <v>Finance</v>
      </c>
      <c r="D48" s="3">
        <v>12.184210526315789</v>
      </c>
    </row>
    <row r="49" spans="1:7" x14ac:dyDescent="0.3">
      <c r="C49" t="str">
        <v>IT</v>
      </c>
      <c r="D49" s="3">
        <v>15.291666666666666</v>
      </c>
    </row>
    <row r="50" spans="1:7" x14ac:dyDescent="0.3">
      <c r="A50" s="13"/>
      <c r="B50" s="13"/>
      <c r="C50" s="13"/>
      <c r="D50" s="13"/>
    </row>
    <row r="51" spans="1:7" ht="21" x14ac:dyDescent="0.3">
      <c r="B51" s="5" t="s">
        <v>474</v>
      </c>
    </row>
    <row r="52" spans="1:7" x14ac:dyDescent="0.3">
      <c r="A52">
        <v>24</v>
      </c>
      <c r="B52" t="s">
        <v>475</v>
      </c>
      <c r="C52">
        <f>CORREL(Data!N2:N201,Data!R2:R201)</f>
        <v>2.7534034523663094E-2</v>
      </c>
      <c r="D52" s="9" t="s">
        <v>478</v>
      </c>
      <c r="F52" s="8"/>
      <c r="G52" s="9"/>
    </row>
    <row r="53" spans="1:7" x14ac:dyDescent="0.3">
      <c r="F53" s="8"/>
      <c r="G53" s="9"/>
    </row>
    <row r="54" spans="1:7" x14ac:dyDescent="0.3">
      <c r="F54" s="8"/>
      <c r="G54" s="9"/>
    </row>
    <row r="55" spans="1:7" x14ac:dyDescent="0.3">
      <c r="F55" s="8"/>
      <c r="G55" s="9"/>
    </row>
    <row r="56" spans="1:7" x14ac:dyDescent="0.3">
      <c r="F56" s="8"/>
      <c r="G56" s="9"/>
    </row>
    <row r="57" spans="1:7" x14ac:dyDescent="0.3">
      <c r="F57" s="8"/>
      <c r="G57" s="9"/>
    </row>
    <row r="58" spans="1:7" x14ac:dyDescent="0.3">
      <c r="F58" s="8"/>
      <c r="G5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Vellingiri N</dc:creator>
  <cp:lastModifiedBy>harishmashree05@outlook.com</cp:lastModifiedBy>
  <dcterms:created xsi:type="dcterms:W3CDTF">2026-08-17T07:37:57Z</dcterms:created>
  <dcterms:modified xsi:type="dcterms:W3CDTF">2026-10-30T06:57:12Z</dcterms:modified>
</cp:coreProperties>
</file>